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76" windowWidth="22716" windowHeight="8412" activeTab="2"/>
  </bookViews>
  <sheets>
    <sheet name="Лист1" sheetId="1" r:id="rId1"/>
    <sheet name="Лист2" sheetId="2" r:id="rId2"/>
    <sheet name="МАССИВ" sheetId="5" r:id="rId3"/>
  </sheets>
  <calcPr calcId="144525"/>
  <pivotCaches>
    <pivotCache cacheId="23" r:id="rId4"/>
  </pivotCaches>
  <extLst>
    <ext uri="GoogleSheetsCustomDataVersion2">
      <go:sheetsCustomData xmlns:go="http://customooxmlschemas.google.com/" r:id="" roundtripDataChecksum="r3VgOpKj0LI773MeeqSkWfF1GFyRyFpMSmwpz4xgUMs=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</calcChain>
</file>

<file path=xl/sharedStrings.xml><?xml version="1.0" encoding="utf-8"?>
<sst xmlns="http://schemas.openxmlformats.org/spreadsheetml/2006/main" count="1091" uniqueCount="31">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</sst>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0" fillId="4" borderId="0" xfId="0" applyFont="1" applyFill="1" applyAlignment="1">
      <alignment horizontal="left"/>
    </xf>
    <xf numFmtId="10" fontId="0" fillId="4" borderId="0" xfId="0" applyNumberFormat="1" applyFont="1" applyFill="1" applyAlignment="1"/>
    <xf numFmtId="0" fontId="0" fillId="5" borderId="0" xfId="0" applyFont="1" applyFill="1" applyAlignment="1">
      <alignment horizontal="left"/>
    </xf>
    <xf numFmtId="10" fontId="0" fillId="5" borderId="0" xfId="0" applyNumberFormat="1" applyFont="1" applyFill="1" applyAlignment="1"/>
    <xf numFmtId="0" fontId="0" fillId="6" borderId="0" xfId="0" applyFont="1" applyFill="1" applyAlignment="1">
      <alignment horizontal="left"/>
    </xf>
    <xf numFmtId="10" fontId="0" fillId="6" borderId="0" xfId="0" applyNumberFormat="1" applyFont="1" applyFill="1" applyAlignment="1"/>
  </cellXfs>
  <cellStyles count="1">
    <cellStyle name="Обычный" xfId="0" builtinId="0"/>
  </cellStyles>
  <dxfs count="3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 style="thin">
          <color rgb="FF8EAA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colors>
    <mruColors>
      <color rgb="FFFFCCFF"/>
      <color rgb="FFFFCCCC"/>
      <color rgb="FFEBE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final project.xlsx]МАССИВ!СводнаяТаблица6</c:name>
    <c:fmtId val="0"/>
  </c:pivotSource>
  <c:chart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МАССИВ!$F$37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МАССИВ!$E$38:$E$44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МАССИВ!$F$38:$F$44</c:f>
              <c:numCache>
                <c:formatCode>General</c:formatCode>
                <c:ptCount val="6"/>
                <c:pt idx="0">
                  <c:v>718517823</c:v>
                </c:pt>
                <c:pt idx="1">
                  <c:v>938237891.47455001</c:v>
                </c:pt>
                <c:pt idx="2">
                  <c:v>960420760.75365007</c:v>
                </c:pt>
                <c:pt idx="3">
                  <c:v>980747673.68744993</c:v>
                </c:pt>
                <c:pt idx="4">
                  <c:v>1045414934.64675</c:v>
                </c:pt>
                <c:pt idx="5">
                  <c:v>319020133.5</c:v>
                </c:pt>
              </c:numCache>
            </c:numRef>
          </c:val>
        </c:ser>
        <c:ser>
          <c:idx val="1"/>
          <c:order val="1"/>
          <c:tx>
            <c:strRef>
              <c:f>МАССИВ!$G$37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МАССИВ!$E$38:$E$44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МАССИВ!$G$38:$G$44</c:f>
              <c:numCache>
                <c:formatCode>General</c:formatCode>
                <c:ptCount val="6"/>
                <c:pt idx="0">
                  <c:v>12905075.272985894</c:v>
                </c:pt>
                <c:pt idx="1">
                  <c:v>16919926.769184466</c:v>
                </c:pt>
                <c:pt idx="2">
                  <c:v>17689483.664534103</c:v>
                </c:pt>
                <c:pt idx="3">
                  <c:v>18470455.604573261</c:v>
                </c:pt>
                <c:pt idx="4">
                  <c:v>19942935.28656568</c:v>
                </c:pt>
                <c:pt idx="5">
                  <c:v>6435233.7338842517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45682176"/>
        <c:axId val="245683712"/>
      </c:barChart>
      <c:catAx>
        <c:axId val="245682176"/>
        <c:scaling>
          <c:orientation val="minMax"/>
        </c:scaling>
        <c:delete val="0"/>
        <c:axPos val="l"/>
        <c:majorTickMark val="none"/>
        <c:minorTickMark val="none"/>
        <c:tickLblPos val="nextTo"/>
        <c:crossAx val="245683712"/>
        <c:crosses val="autoZero"/>
        <c:auto val="1"/>
        <c:lblAlgn val="ctr"/>
        <c:lblOffset val="100"/>
        <c:noMultiLvlLbl val="0"/>
      </c:catAx>
      <c:valAx>
        <c:axId val="24568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56821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1132114</xdr:colOff>
      <xdr:row>45</xdr:row>
      <xdr:rowOff>103414</xdr:rowOff>
    </xdr:from>
    <xdr:to>
      <xdr:col>7</xdr:col>
      <xdr:colOff>272143</xdr:colOff>
      <xdr:row>60</xdr:row>
      <xdr:rowOff>70756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1317171</xdr:colOff>
      <xdr:row>33</xdr:row>
      <xdr:rowOff>43542</xdr:rowOff>
    </xdr:from>
    <xdr:to>
      <xdr:col>7</xdr:col>
      <xdr:colOff>10886</xdr:colOff>
      <xdr:row>35</xdr:row>
      <xdr:rowOff>54428</xdr:rowOff>
    </xdr:to>
    <xdr:sp macro="" textlink="">
      <xdr:nvSpPr>
        <xdr:cNvPr id="3" name="TextBox 2"/>
        <xdr:cNvSpPr txBox="1"/>
      </xdr:nvSpPr>
      <xdr:spPr>
        <a:xfrm>
          <a:off x="7728857" y="6150428"/>
          <a:ext cx="6041572" cy="381000"/>
        </a:xfrm>
        <a:prstGeom prst="rect">
          <a:avLst/>
        </a:prstGeom>
        <a:solidFill>
          <a:srgbClr val="EBE1E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600" b="1" i="0" u="none" strike="noStrike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Понедельная динамика</a:t>
          </a:r>
          <a:endParaRPr lang="ru-RU" sz="16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4</xdr:col>
      <xdr:colOff>10885</xdr:colOff>
      <xdr:row>9</xdr:row>
      <xdr:rowOff>54429</xdr:rowOff>
    </xdr:from>
    <xdr:ext cx="3537857" cy="328295"/>
    <xdr:sp macro="" textlink="">
      <xdr:nvSpPr>
        <xdr:cNvPr id="4" name="TextBox 3"/>
        <xdr:cNvSpPr txBox="1"/>
      </xdr:nvSpPr>
      <xdr:spPr>
        <a:xfrm>
          <a:off x="7750628" y="1719943"/>
          <a:ext cx="3537857" cy="328295"/>
        </a:xfrm>
        <a:prstGeom prst="rect">
          <a:avLst/>
        </a:prstGeom>
        <a:solidFill>
          <a:srgbClr val="EBE1E8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600" b="0" i="0" u="none" strike="noStrike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Топ-3 территорий по доле</a:t>
          </a:r>
          <a:endParaRPr lang="ru-RU" sz="16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twoCellAnchor>
    <xdr:from>
      <xdr:col>7</xdr:col>
      <xdr:colOff>0</xdr:colOff>
      <xdr:row>6</xdr:row>
      <xdr:rowOff>43543</xdr:rowOff>
    </xdr:from>
    <xdr:to>
      <xdr:col>9</xdr:col>
      <xdr:colOff>10886</xdr:colOff>
      <xdr:row>9</xdr:row>
      <xdr:rowOff>108858</xdr:rowOff>
    </xdr:to>
    <xdr:sp macro="" textlink="">
      <xdr:nvSpPr>
        <xdr:cNvPr id="5" name="TextBox 4"/>
        <xdr:cNvSpPr txBox="1"/>
      </xdr:nvSpPr>
      <xdr:spPr>
        <a:xfrm>
          <a:off x="13759543" y="1153886"/>
          <a:ext cx="4027714" cy="620486"/>
        </a:xfrm>
        <a:prstGeom prst="rect">
          <a:avLst/>
        </a:prstGeom>
        <a:solidFill>
          <a:srgbClr val="EBE1E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600" b="0" i="0" u="none" strike="noStrike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Топ-3 территорий по товарообороту на склад </a:t>
          </a:r>
          <a:endParaRPr lang="ru-RU" sz="16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0</xdr:colOff>
      <xdr:row>35</xdr:row>
      <xdr:rowOff>54429</xdr:rowOff>
    </xdr:from>
    <xdr:to>
      <xdr:col>7</xdr:col>
      <xdr:colOff>21771</xdr:colOff>
      <xdr:row>35</xdr:row>
      <xdr:rowOff>100148</xdr:rowOff>
    </xdr:to>
    <xdr:sp macro="" textlink="">
      <xdr:nvSpPr>
        <xdr:cNvPr id="6" name="Прямоугольник 5"/>
        <xdr:cNvSpPr/>
      </xdr:nvSpPr>
      <xdr:spPr>
        <a:xfrm>
          <a:off x="7739743" y="6531429"/>
          <a:ext cx="6041571" cy="4571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6</xdr:col>
      <xdr:colOff>32657</xdr:colOff>
      <xdr:row>11</xdr:row>
      <xdr:rowOff>45719</xdr:rowOff>
    </xdr:to>
    <xdr:sp macro="" textlink="">
      <xdr:nvSpPr>
        <xdr:cNvPr id="7" name="Прямоугольник 6"/>
        <xdr:cNvSpPr/>
      </xdr:nvSpPr>
      <xdr:spPr>
        <a:xfrm>
          <a:off x="7739743" y="2035629"/>
          <a:ext cx="3526971" cy="4571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10886</xdr:colOff>
      <xdr:row>9</xdr:row>
      <xdr:rowOff>97972</xdr:rowOff>
    </xdr:from>
    <xdr:to>
      <xdr:col>9</xdr:col>
      <xdr:colOff>43544</xdr:colOff>
      <xdr:row>9</xdr:row>
      <xdr:rowOff>152400</xdr:rowOff>
    </xdr:to>
    <xdr:sp macro="" textlink="">
      <xdr:nvSpPr>
        <xdr:cNvPr id="8" name="Прямоугольник 7"/>
        <xdr:cNvSpPr/>
      </xdr:nvSpPr>
      <xdr:spPr>
        <a:xfrm flipV="1">
          <a:off x="13770429" y="1763486"/>
          <a:ext cx="4049486" cy="5442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0</xdr:col>
      <xdr:colOff>707570</xdr:colOff>
      <xdr:row>1</xdr:row>
      <xdr:rowOff>130629</xdr:rowOff>
    </xdr:from>
    <xdr:ext cx="4833259" cy="424542"/>
    <xdr:sp macro="" textlink="">
      <xdr:nvSpPr>
        <xdr:cNvPr id="9" name="TextBox 8"/>
        <xdr:cNvSpPr txBox="1"/>
      </xdr:nvSpPr>
      <xdr:spPr>
        <a:xfrm>
          <a:off x="707570" y="315686"/>
          <a:ext cx="4833259" cy="424542"/>
        </a:xfrm>
        <a:prstGeom prst="rect">
          <a:avLst/>
        </a:prstGeom>
        <a:solidFill>
          <a:srgbClr val="EBE1E8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 rtl="0"/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ru-RU" sz="1600" b="0" i="0" u="none" strike="noStrike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Разрезе Недель и Территорий.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ru-RU" b="0">
            <a:effectLst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oneCellAnchor>
  <xdr:twoCellAnchor>
    <xdr:from>
      <xdr:col>0</xdr:col>
      <xdr:colOff>718457</xdr:colOff>
      <xdr:row>4</xdr:row>
      <xdr:rowOff>10885</xdr:rowOff>
    </xdr:from>
    <xdr:to>
      <xdr:col>2</xdr:col>
      <xdr:colOff>1621970</xdr:colOff>
      <xdr:row>4</xdr:row>
      <xdr:rowOff>56604</xdr:rowOff>
    </xdr:to>
    <xdr:sp macro="" textlink="">
      <xdr:nvSpPr>
        <xdr:cNvPr id="10" name="Прямоугольник 9"/>
        <xdr:cNvSpPr/>
      </xdr:nvSpPr>
      <xdr:spPr>
        <a:xfrm>
          <a:off x="718457" y="751114"/>
          <a:ext cx="4789713" cy="4571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1317172</xdr:colOff>
      <xdr:row>1</xdr:row>
      <xdr:rowOff>108857</xdr:rowOff>
    </xdr:from>
    <xdr:to>
      <xdr:col>9</xdr:col>
      <xdr:colOff>54429</xdr:colOff>
      <xdr:row>4</xdr:row>
      <xdr:rowOff>54428</xdr:rowOff>
    </xdr:to>
    <xdr:sp macro="" textlink="">
      <xdr:nvSpPr>
        <xdr:cNvPr id="11" name="TextBox 10"/>
        <xdr:cNvSpPr txBox="1"/>
      </xdr:nvSpPr>
      <xdr:spPr>
        <a:xfrm>
          <a:off x="7728858" y="293914"/>
          <a:ext cx="10101942" cy="500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3200">
              <a:latin typeface="Times New Roman" pitchFamily="18" charset="0"/>
              <a:cs typeface="Times New Roman" pitchFamily="18" charset="0"/>
            </a:rPr>
            <a:t>Товарооборот в расчёте на склад</a:t>
          </a:r>
        </a:p>
      </xdr:txBody>
    </xdr:sp>
    <xdr:clientData/>
  </xdr:twoCellAnchor>
  <xdr:twoCellAnchor>
    <xdr:from>
      <xdr:col>4</xdr:col>
      <xdr:colOff>10885</xdr:colOff>
      <xdr:row>4</xdr:row>
      <xdr:rowOff>54428</xdr:rowOff>
    </xdr:from>
    <xdr:to>
      <xdr:col>9</xdr:col>
      <xdr:colOff>54428</xdr:colOff>
      <xdr:row>4</xdr:row>
      <xdr:rowOff>100147</xdr:rowOff>
    </xdr:to>
    <xdr:sp macro="" textlink="">
      <xdr:nvSpPr>
        <xdr:cNvPr id="12" name="Прямоугольник 11"/>
        <xdr:cNvSpPr/>
      </xdr:nvSpPr>
      <xdr:spPr>
        <a:xfrm>
          <a:off x="7750628" y="794657"/>
          <a:ext cx="10080171" cy="4571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53.544824421297" createdVersion="4" refreshedVersion="4" minRefreshableVersion="3" recordCount="504">
  <cacheSource type="worksheet">
    <worksheetSource name="Таблица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3"/>
        <n v="22"/>
        <n v="21"/>
        <n v="20"/>
        <n v="18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1"/>
  </r>
  <r>
    <d v="2020-05-16T00:00:00"/>
    <x v="1"/>
    <n v="38947.5"/>
    <n v="3395892"/>
    <n v="21"/>
    <n v="2145"/>
    <n v="1947"/>
    <n v="161709.14285714287"/>
    <x v="2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2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4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5"/>
  </r>
  <r>
    <d v="2020-05-26T00:00:00"/>
    <x v="1"/>
    <n v="33423"/>
    <n v="2970330"/>
    <n v="20"/>
    <n v="2044"/>
    <n v="1863"/>
    <n v="148516.5"/>
    <x v="1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3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5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3"/>
  </r>
  <r>
    <d v="2020-05-03T00:00:00"/>
    <x v="1"/>
    <n v="26082"/>
    <n v="2434914"/>
    <n v="20"/>
    <n v="1520"/>
    <n v="1373"/>
    <n v="121745.7"/>
    <x v="5"/>
  </r>
  <r>
    <d v="2020-05-06T00:00:00"/>
    <x v="1"/>
    <n v="32511"/>
    <n v="2938623"/>
    <n v="20"/>
    <n v="1784"/>
    <n v="1632"/>
    <n v="146931.15"/>
    <x v="5"/>
  </r>
  <r>
    <d v="2020-05-23T00:00:00"/>
    <x v="1"/>
    <n v="42703.5"/>
    <n v="3628726.5"/>
    <n v="21"/>
    <n v="2340"/>
    <n v="2146"/>
    <n v="172796.5"/>
    <x v="1"/>
  </r>
  <r>
    <d v="2020-05-25T00:00:00"/>
    <x v="1"/>
    <n v="35592"/>
    <n v="3176580"/>
    <n v="20"/>
    <n v="2087"/>
    <n v="1914"/>
    <n v="158829"/>
    <x v="2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5"/>
  </r>
  <r>
    <d v="2020-05-07T00:00:00"/>
    <x v="1"/>
    <n v="27018"/>
    <n v="2472213"/>
    <n v="21"/>
    <n v="1542"/>
    <n v="1405"/>
    <n v="117724.42857142857"/>
    <x v="5"/>
  </r>
  <r>
    <d v="2020-05-24T00:00:00"/>
    <x v="1"/>
    <n v="34303.5"/>
    <n v="2924746.5"/>
    <n v="20"/>
    <n v="1999"/>
    <n v="1829"/>
    <n v="146237.32500000001"/>
    <x v="1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1"/>
  </r>
  <r>
    <d v="2020-05-16T00:00:00"/>
    <x v="2"/>
    <n v="88063.5"/>
    <n v="7583758.5"/>
    <n v="31"/>
    <n v="5593"/>
    <n v="5177"/>
    <n v="244637.37096774194"/>
    <x v="2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2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4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5"/>
  </r>
  <r>
    <d v="2020-05-26T00:00:00"/>
    <x v="2"/>
    <n v="79975.5"/>
    <n v="6676459.5"/>
    <n v="31"/>
    <n v="5493"/>
    <n v="5119"/>
    <n v="215369.66129032258"/>
    <x v="1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3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5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3"/>
  </r>
  <r>
    <d v="2020-05-03T00:00:00"/>
    <x v="2"/>
    <n v="77263.5"/>
    <n v="7013670"/>
    <n v="31"/>
    <n v="5155"/>
    <n v="4762"/>
    <n v="226247.4193548387"/>
    <x v="5"/>
  </r>
  <r>
    <d v="2020-05-06T00:00:00"/>
    <x v="2"/>
    <n v="68994"/>
    <n v="6168657"/>
    <n v="31"/>
    <n v="4709"/>
    <n v="4348"/>
    <n v="198988.93548387097"/>
    <x v="5"/>
  </r>
  <r>
    <d v="2020-05-23T00:00:00"/>
    <x v="2"/>
    <n v="102889.5"/>
    <n v="8089143"/>
    <n v="31"/>
    <n v="6276"/>
    <n v="5801"/>
    <n v="260940.09677419355"/>
    <x v="1"/>
  </r>
  <r>
    <d v="2020-05-25T00:00:00"/>
    <x v="2"/>
    <n v="76999.5"/>
    <n v="6645603"/>
    <n v="31"/>
    <n v="5210"/>
    <n v="4841"/>
    <n v="214374.29032258064"/>
    <x v="2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5"/>
  </r>
  <r>
    <d v="2020-05-07T00:00:00"/>
    <x v="2"/>
    <n v="73204.5"/>
    <n v="6591883.5"/>
    <n v="31"/>
    <n v="4903"/>
    <n v="4527"/>
    <n v="212641.40322580645"/>
    <x v="5"/>
  </r>
  <r>
    <d v="2020-05-24T00:00:00"/>
    <x v="2"/>
    <n v="76663.5"/>
    <n v="6451032"/>
    <n v="31"/>
    <n v="5035"/>
    <n v="4683"/>
    <n v="208097.80645161291"/>
    <x v="1"/>
  </r>
  <r>
    <d v="2020-05-16T00:00:00"/>
    <x v="3"/>
    <n v="14265"/>
    <n v="1130506.5"/>
    <n v="10"/>
    <n v="760"/>
    <n v="672"/>
    <n v="113050.65"/>
    <x v="2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2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4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5"/>
  </r>
  <r>
    <d v="2020-05-26T00:00:00"/>
    <x v="3"/>
    <n v="11835"/>
    <n v="983109"/>
    <n v="10"/>
    <n v="692"/>
    <n v="601"/>
    <n v="98310.9"/>
    <x v="1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3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5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3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5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5"/>
  </r>
  <r>
    <d v="2020-05-23T00:00:00"/>
    <x v="3"/>
    <n v="14773.5"/>
    <n v="1241383.5"/>
    <n v="10"/>
    <n v="828"/>
    <n v="734"/>
    <n v="124138.35"/>
    <x v="1"/>
  </r>
  <r>
    <d v="2020-05-28T00:00:00"/>
    <x v="2"/>
    <n v="78141"/>
    <n v="6641569.5"/>
    <n v="31"/>
    <n v="5355"/>
    <n v="4969"/>
    <n v="214244.17741935485"/>
    <x v="1"/>
  </r>
  <r>
    <d v="2020-05-25T00:00:00"/>
    <x v="3"/>
    <n v="12280.5"/>
    <n v="1030440"/>
    <n v="10"/>
    <n v="739"/>
    <n v="642"/>
    <n v="103044"/>
    <x v="2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5"/>
  </r>
  <r>
    <d v="2020-05-07T00:00:00"/>
    <x v="3"/>
    <n v="11029.5"/>
    <n v="863754"/>
    <n v="10"/>
    <n v="563"/>
    <n v="486"/>
    <n v="86375.4"/>
    <x v="5"/>
  </r>
  <r>
    <d v="2020-05-24T00:00:00"/>
    <x v="3"/>
    <n v="9994.5"/>
    <n v="828984"/>
    <n v="10"/>
    <n v="639"/>
    <n v="557"/>
    <n v="82898.399999999994"/>
    <x v="1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1"/>
  </r>
  <r>
    <d v="2020-05-16T00:00:00"/>
    <x v="4"/>
    <n v="35482.5"/>
    <n v="3222517.5"/>
    <n v="19"/>
    <n v="2080"/>
    <n v="1844"/>
    <n v="169606.18421052632"/>
    <x v="2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2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4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5"/>
  </r>
  <r>
    <d v="2020-05-26T00:00:00"/>
    <x v="4"/>
    <n v="31407"/>
    <n v="2907411"/>
    <n v="20"/>
    <n v="2036"/>
    <n v="1790"/>
    <n v="145370.54999999999"/>
    <x v="1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3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5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3"/>
  </r>
  <r>
    <d v="2020-05-03T00:00:00"/>
    <x v="4"/>
    <n v="23539.5"/>
    <n v="2170309.5"/>
    <n v="19"/>
    <n v="1402"/>
    <n v="1234"/>
    <n v="114226.81578947368"/>
    <x v="5"/>
  </r>
  <r>
    <d v="2020-05-06T00:00:00"/>
    <x v="4"/>
    <n v="24678"/>
    <n v="2232519"/>
    <n v="19"/>
    <n v="1499"/>
    <n v="1323"/>
    <n v="117501"/>
    <x v="5"/>
  </r>
  <r>
    <d v="2020-05-23T00:00:00"/>
    <x v="4"/>
    <n v="38176.5"/>
    <n v="3385372.5"/>
    <n v="20"/>
    <n v="2266"/>
    <n v="1993"/>
    <n v="169268.625"/>
    <x v="1"/>
  </r>
  <r>
    <d v="2020-05-25T00:00:00"/>
    <x v="4"/>
    <n v="30603"/>
    <n v="2865727.5"/>
    <n v="20"/>
    <n v="2011"/>
    <n v="1791"/>
    <n v="143286.375"/>
    <x v="2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5"/>
  </r>
  <r>
    <d v="2020-05-07T00:00:00"/>
    <x v="4"/>
    <n v="25468.5"/>
    <n v="2350672.5"/>
    <n v="19"/>
    <n v="1530"/>
    <n v="1338"/>
    <n v="123719.60526315789"/>
    <x v="5"/>
  </r>
  <r>
    <d v="2020-05-24T00:00:00"/>
    <x v="4"/>
    <n v="31854"/>
    <n v="2915533.5"/>
    <n v="20"/>
    <n v="2015"/>
    <n v="1803"/>
    <n v="145776.67499999999"/>
    <x v="1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1"/>
  </r>
  <r>
    <d v="2020-05-16T00:00:00"/>
    <x v="5"/>
    <n v="321412.5"/>
    <n v="32235864"/>
    <n v="129"/>
    <n v="17914"/>
    <n v="16631"/>
    <n v="249890.41860465117"/>
    <x v="2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2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4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5"/>
  </r>
  <r>
    <d v="2020-05-26T00:00:00"/>
    <x v="5"/>
    <n v="276966"/>
    <n v="27872617.898850001"/>
    <n v="129"/>
    <n v="16459"/>
    <n v="15355"/>
    <n v="216066.80541744188"/>
    <x v="1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3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5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3"/>
  </r>
  <r>
    <d v="2020-05-03T00:00:00"/>
    <x v="5"/>
    <n v="274083"/>
    <n v="28427001"/>
    <n v="129"/>
    <n v="15778"/>
    <n v="14624"/>
    <n v="220364.34883720931"/>
    <x v="5"/>
  </r>
  <r>
    <d v="2020-05-06T00:00:00"/>
    <x v="5"/>
    <n v="277512"/>
    <n v="28770810.105599999"/>
    <n v="129"/>
    <n v="16376"/>
    <n v="15197"/>
    <n v="223029.53570232558"/>
    <x v="5"/>
  </r>
  <r>
    <d v="2020-05-23T00:00:00"/>
    <x v="5"/>
    <n v="356982"/>
    <n v="35103926.711549997"/>
    <n v="129"/>
    <n v="19856"/>
    <n v="18325"/>
    <n v="272123.46288023255"/>
    <x v="1"/>
  </r>
  <r>
    <d v="2020-05-25T00:00:00"/>
    <x v="5"/>
    <n v="266983.5"/>
    <n v="27165913.5"/>
    <n v="129"/>
    <n v="15822"/>
    <n v="14753"/>
    <n v="210588.47674418605"/>
    <x v="2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5"/>
  </r>
  <r>
    <d v="2020-05-07T00:00:00"/>
    <x v="5"/>
    <n v="247813.5"/>
    <n v="25325271"/>
    <n v="129"/>
    <n v="14582"/>
    <n v="13512"/>
    <n v="196319.93023255814"/>
    <x v="5"/>
  </r>
  <r>
    <d v="2020-05-24T00:00:00"/>
    <x v="5"/>
    <n v="287740.5"/>
    <n v="28188534"/>
    <n v="129"/>
    <n v="16432"/>
    <n v="15345"/>
    <n v="218515.76744186046"/>
    <x v="1"/>
  </r>
  <r>
    <d v="2020-05-16T00:00:00"/>
    <x v="6"/>
    <n v="408810"/>
    <n v="42323631"/>
    <n v="125"/>
    <n v="22291"/>
    <n v="20635"/>
    <n v="338589.04800000001"/>
    <x v="2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2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4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5"/>
  </r>
  <r>
    <d v="2020-05-26T00:00:00"/>
    <x v="6"/>
    <n v="369861"/>
    <n v="38365960.5"/>
    <n v="124"/>
    <n v="21153"/>
    <n v="19673"/>
    <n v="309402.90725806454"/>
    <x v="1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3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5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3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5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5"/>
  </r>
  <r>
    <d v="2020-05-23T00:00:00"/>
    <x v="6"/>
    <n v="456885"/>
    <n v="46408080"/>
    <n v="125"/>
    <n v="24574"/>
    <n v="22609"/>
    <n v="371264.64"/>
    <x v="1"/>
  </r>
  <r>
    <d v="2020-05-28T00:00:00"/>
    <x v="5"/>
    <n v="278491.5"/>
    <n v="28151004.75"/>
    <n v="129"/>
    <n v="16453"/>
    <n v="15289"/>
    <n v="218224.84302325582"/>
    <x v="1"/>
  </r>
  <r>
    <d v="2020-05-25T00:00:00"/>
    <x v="6"/>
    <n v="349734"/>
    <n v="36883428"/>
    <n v="124"/>
    <n v="20358"/>
    <n v="18890"/>
    <n v="297447"/>
    <x v="2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5"/>
  </r>
  <r>
    <d v="2020-05-07T00:00:00"/>
    <x v="6"/>
    <n v="319110"/>
    <n v="33763989"/>
    <n v="125"/>
    <n v="18014"/>
    <n v="16675"/>
    <n v="270111.91200000001"/>
    <x v="5"/>
  </r>
  <r>
    <d v="2020-05-24T00:00:00"/>
    <x v="6"/>
    <n v="375744"/>
    <n v="38191381.5"/>
    <n v="125"/>
    <n v="21004"/>
    <n v="19556"/>
    <n v="305531.05200000003"/>
    <x v="1"/>
  </r>
  <r>
    <d v="2020-05-16T00:00:00"/>
    <x v="7"/>
    <n v="81331.5"/>
    <n v="6652179"/>
    <n v="36"/>
    <n v="5286"/>
    <n v="4867"/>
    <n v="184782.75"/>
    <x v="2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2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4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5"/>
  </r>
  <r>
    <d v="2020-05-26T00:00:00"/>
    <x v="7"/>
    <n v="67726.5"/>
    <n v="5864989.5"/>
    <n v="36"/>
    <n v="4770"/>
    <n v="4424"/>
    <n v="162916.375"/>
    <x v="1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3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5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3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5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5"/>
  </r>
  <r>
    <d v="2020-05-23T00:00:00"/>
    <x v="7"/>
    <n v="89556"/>
    <n v="7173117"/>
    <n v="36"/>
    <n v="5651"/>
    <n v="5212"/>
    <n v="199253.25"/>
    <x v="1"/>
  </r>
  <r>
    <d v="2020-05-28T00:00:00"/>
    <x v="6"/>
    <n v="364638"/>
    <n v="37947688.5"/>
    <n v="124"/>
    <n v="20868"/>
    <n v="19342"/>
    <n v="306029.74596774194"/>
    <x v="1"/>
  </r>
  <r>
    <d v="2020-05-25T00:00:00"/>
    <x v="7"/>
    <n v="66316.5"/>
    <n v="5704650"/>
    <n v="36"/>
    <n v="4641"/>
    <n v="4274"/>
    <n v="158462.5"/>
    <x v="2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5"/>
  </r>
  <r>
    <d v="2020-05-07T00:00:00"/>
    <x v="7"/>
    <n v="71067"/>
    <n v="6175837.5"/>
    <n v="36"/>
    <n v="4826"/>
    <n v="4426"/>
    <n v="171551.04166666666"/>
    <x v="5"/>
  </r>
  <r>
    <d v="2020-05-24T00:00:00"/>
    <x v="7"/>
    <n v="74649"/>
    <n v="6098236.5"/>
    <n v="36"/>
    <n v="4915"/>
    <n v="4562"/>
    <n v="169395.45833333334"/>
    <x v="1"/>
  </r>
  <r>
    <d v="2020-05-16T00:00:00"/>
    <x v="8"/>
    <n v="44560.5"/>
    <n v="4025148"/>
    <n v="21"/>
    <n v="2427"/>
    <n v="2213"/>
    <n v="191673.71428571429"/>
    <x v="2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2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4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5"/>
  </r>
  <r>
    <d v="2020-05-26T00:00:00"/>
    <x v="8"/>
    <n v="40744.5"/>
    <n v="3700311"/>
    <n v="21"/>
    <n v="2418"/>
    <n v="2215"/>
    <n v="176205.28571428571"/>
    <x v="1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3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5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3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5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5"/>
  </r>
  <r>
    <d v="2020-05-23T00:00:00"/>
    <x v="8"/>
    <n v="42999"/>
    <n v="3883215"/>
    <n v="21"/>
    <n v="2460"/>
    <n v="2226"/>
    <n v="184915"/>
    <x v="1"/>
  </r>
  <r>
    <d v="2020-05-28T00:00:00"/>
    <x v="7"/>
    <n v="69945"/>
    <n v="6101931"/>
    <n v="37"/>
    <n v="4840"/>
    <n v="4475"/>
    <n v="164917.05405405405"/>
    <x v="1"/>
  </r>
  <r>
    <d v="2020-05-25T00:00:00"/>
    <x v="8"/>
    <n v="38740.5"/>
    <n v="3561655.5"/>
    <n v="21"/>
    <n v="2330"/>
    <n v="2142"/>
    <n v="169602.64285714287"/>
    <x v="2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5"/>
  </r>
  <r>
    <d v="2020-05-07T00:00:00"/>
    <x v="8"/>
    <n v="32851.5"/>
    <n v="2934504"/>
    <n v="21"/>
    <n v="1879"/>
    <n v="1695"/>
    <n v="139738.28571428571"/>
    <x v="5"/>
  </r>
  <r>
    <d v="2020-05-24T00:00:00"/>
    <x v="8"/>
    <n v="38194.5"/>
    <n v="3449302.5"/>
    <n v="21"/>
    <n v="2254"/>
    <n v="2061"/>
    <n v="164252.5"/>
    <x v="1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1"/>
  </r>
  <r>
    <d v="2020-05-16T00:00:00"/>
    <x v="9"/>
    <n v="18600"/>
    <n v="1601425.5"/>
    <n v="15"/>
    <n v="1111"/>
    <n v="992"/>
    <n v="106761.7"/>
    <x v="2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2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4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5"/>
  </r>
  <r>
    <d v="2020-05-26T00:00:00"/>
    <x v="9"/>
    <n v="17391"/>
    <n v="1489132.5"/>
    <n v="17"/>
    <n v="1140"/>
    <n v="1016"/>
    <n v="87596.029411764699"/>
    <x v="1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3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5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3"/>
  </r>
  <r>
    <d v="2020-05-03T00:00:00"/>
    <x v="9"/>
    <n v="12924"/>
    <n v="1120009.5"/>
    <n v="15"/>
    <n v="784"/>
    <n v="696"/>
    <n v="74667.3"/>
    <x v="5"/>
  </r>
  <r>
    <d v="2020-05-06T00:00:00"/>
    <x v="9"/>
    <n v="14061"/>
    <n v="1221057"/>
    <n v="15"/>
    <n v="839"/>
    <n v="733"/>
    <n v="81403.8"/>
    <x v="5"/>
  </r>
  <r>
    <d v="2020-05-23T00:00:00"/>
    <x v="9"/>
    <n v="21958.5"/>
    <n v="1854001.5"/>
    <n v="17"/>
    <n v="1294"/>
    <n v="1155"/>
    <n v="109058.91176470589"/>
    <x v="1"/>
  </r>
  <r>
    <d v="2020-05-25T00:00:00"/>
    <x v="9"/>
    <n v="17211"/>
    <n v="1507867.5"/>
    <n v="17"/>
    <n v="1142"/>
    <n v="1020"/>
    <n v="88698.088235294112"/>
    <x v="2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5"/>
  </r>
  <r>
    <d v="2020-05-07T00:00:00"/>
    <x v="9"/>
    <n v="12705"/>
    <n v="1123894.5"/>
    <n v="15"/>
    <n v="805"/>
    <n v="703"/>
    <n v="74926.3"/>
    <x v="5"/>
  </r>
  <r>
    <d v="2020-05-24T00:00:00"/>
    <x v="9"/>
    <n v="18075"/>
    <n v="1548099"/>
    <n v="17"/>
    <n v="1128"/>
    <n v="1001"/>
    <n v="91064.647058823524"/>
    <x v="1"/>
  </r>
  <r>
    <d v="2020-05-16T00:00:00"/>
    <x v="10"/>
    <n v="13120.5"/>
    <n v="1215033"/>
    <n v="15"/>
    <n v="747"/>
    <n v="647"/>
    <n v="81002.2"/>
    <x v="2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2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4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5"/>
  </r>
  <r>
    <d v="2020-05-26T00:00:00"/>
    <x v="10"/>
    <n v="12259.5"/>
    <n v="1152054"/>
    <n v="15"/>
    <n v="812"/>
    <n v="711"/>
    <n v="76803.600000000006"/>
    <x v="1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3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5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3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5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5"/>
  </r>
  <r>
    <d v="2020-05-23T00:00:00"/>
    <x v="10"/>
    <n v="14167.5"/>
    <n v="1315075.5"/>
    <n v="15"/>
    <n v="840"/>
    <n v="725"/>
    <n v="87671.7"/>
    <x v="1"/>
  </r>
  <r>
    <d v="2020-05-28T00:00:00"/>
    <x v="9"/>
    <n v="16500"/>
    <n v="1487928"/>
    <n v="17"/>
    <n v="1097"/>
    <n v="968"/>
    <n v="87525.176470588238"/>
    <x v="1"/>
  </r>
  <r>
    <d v="2020-05-25T00:00:00"/>
    <x v="10"/>
    <n v="13260"/>
    <n v="1230687"/>
    <n v="15"/>
    <n v="835"/>
    <n v="736"/>
    <n v="82045.8"/>
    <x v="2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5"/>
  </r>
  <r>
    <d v="2020-05-07T00:00:00"/>
    <x v="10"/>
    <n v="8719.5"/>
    <n v="769276.5"/>
    <n v="15"/>
    <n v="480"/>
    <n v="398"/>
    <n v="51285.1"/>
    <x v="5"/>
  </r>
  <r>
    <d v="2020-05-24T00:00:00"/>
    <x v="10"/>
    <n v="12666"/>
    <n v="1184865"/>
    <n v="15"/>
    <n v="779"/>
    <n v="673"/>
    <n v="78991"/>
    <x v="1"/>
  </r>
  <r>
    <d v="2020-05-16T00:00:00"/>
    <x v="11"/>
    <n v="34563"/>
    <n v="2922883.5"/>
    <n v="19"/>
    <n v="2039"/>
    <n v="1868"/>
    <n v="153835.97368421053"/>
    <x v="2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2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4"/>
  </r>
  <r>
    <d v="2020-05-02T00:00:00"/>
    <x v="11"/>
    <n v="18427.5"/>
    <n v="1682851.5"/>
    <n v="19"/>
    <n v="1206"/>
    <n v="1080"/>
    <n v="88571.131578947374"/>
    <x v="5"/>
  </r>
  <r>
    <d v="2020-05-26T00:00:00"/>
    <x v="11"/>
    <n v="27156"/>
    <n v="2410803"/>
    <n v="20"/>
    <n v="1814"/>
    <n v="1655"/>
    <n v="120540.15"/>
    <x v="1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3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5"/>
  </r>
  <r>
    <d v="2020-05-13T00:00:00"/>
    <x v="11"/>
    <n v="25539"/>
    <n v="2263651.5"/>
    <n v="19"/>
    <n v="1605"/>
    <n v="1447"/>
    <n v="119139.55263157895"/>
    <x v="3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5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5"/>
  </r>
  <r>
    <d v="2020-05-23T00:00:00"/>
    <x v="11"/>
    <n v="36997.5"/>
    <n v="3089140.5"/>
    <n v="19"/>
    <n v="2195"/>
    <n v="1999"/>
    <n v="162586.34210526315"/>
    <x v="1"/>
  </r>
  <r>
    <d v="2020-05-28T00:00:00"/>
    <x v="10"/>
    <n v="13864.5"/>
    <n v="1239747"/>
    <n v="16"/>
    <n v="876"/>
    <n v="762"/>
    <n v="77484.1875"/>
    <x v="1"/>
  </r>
  <r>
    <d v="2020-05-25T00:00:00"/>
    <x v="11"/>
    <n v="28494"/>
    <n v="2512803"/>
    <n v="20"/>
    <n v="1899"/>
    <n v="1738"/>
    <n v="125640.15"/>
    <x v="2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5"/>
  </r>
  <r>
    <d v="2020-05-07T00:00:00"/>
    <x v="11"/>
    <n v="26184"/>
    <n v="2308336.5"/>
    <n v="19"/>
    <n v="1580"/>
    <n v="1435"/>
    <n v="121491.39473684211"/>
    <x v="5"/>
  </r>
  <r>
    <d v="2020-05-24T00:00:00"/>
    <x v="11"/>
    <n v="29824.5"/>
    <n v="2526909"/>
    <n v="19"/>
    <n v="1868"/>
    <n v="1706"/>
    <n v="132995.21052631579"/>
    <x v="1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1"/>
  </r>
  <r>
    <d v="2020-05-16T00:00:00"/>
    <x v="12"/>
    <n v="236551.5"/>
    <n v="23689383"/>
    <n v="60"/>
    <n v="14049"/>
    <n v="13118"/>
    <n v="394823.05"/>
    <x v="2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2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4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5"/>
  </r>
  <r>
    <d v="2020-05-26T00:00:00"/>
    <x v="12"/>
    <n v="244905"/>
    <n v="25163431.5"/>
    <n v="59"/>
    <n v="15369"/>
    <n v="14299"/>
    <n v="426498.83898305084"/>
    <x v="1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3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5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3"/>
  </r>
  <r>
    <d v="2020-05-03T00:00:00"/>
    <x v="12"/>
    <n v="257215.5"/>
    <n v="26492278.5"/>
    <n v="59"/>
    <n v="15277"/>
    <n v="14163"/>
    <n v="449021.66949152545"/>
    <x v="5"/>
  </r>
  <r>
    <d v="2020-05-06T00:00:00"/>
    <x v="12"/>
    <n v="224779.5"/>
    <n v="23032992"/>
    <n v="59"/>
    <n v="14103"/>
    <n v="13118"/>
    <n v="390389.69491525425"/>
    <x v="5"/>
  </r>
  <r>
    <d v="2020-05-23T00:00:00"/>
    <x v="12"/>
    <n v="292018.5"/>
    <n v="28590910.5"/>
    <n v="60"/>
    <n v="17295"/>
    <n v="16010"/>
    <n v="476515.17499999999"/>
    <x v="1"/>
  </r>
  <r>
    <d v="2020-05-25T00:00:00"/>
    <x v="12"/>
    <n v="198751.5"/>
    <n v="20582743.5"/>
    <n v="59"/>
    <n v="12983"/>
    <n v="12056"/>
    <n v="348860.05932203389"/>
    <x v="2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5"/>
  </r>
  <r>
    <d v="2020-05-07T00:00:00"/>
    <x v="12"/>
    <n v="219411"/>
    <n v="22460130"/>
    <n v="59"/>
    <n v="13495"/>
    <n v="12517"/>
    <n v="380680.16949152545"/>
    <x v="5"/>
  </r>
  <r>
    <d v="2020-05-24T00:00:00"/>
    <x v="12"/>
    <n v="200029.5"/>
    <n v="19959801"/>
    <n v="60"/>
    <n v="12822"/>
    <n v="11916"/>
    <n v="332663.34999999998"/>
    <x v="1"/>
  </r>
  <r>
    <d v="2020-05-16T00:00:00"/>
    <x v="13"/>
    <n v="225480"/>
    <n v="22355338.5"/>
    <n v="54"/>
    <n v="13170"/>
    <n v="12299"/>
    <n v="413987.75"/>
    <x v="2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2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4"/>
  </r>
  <r>
    <d v="2020-05-02T00:00:00"/>
    <x v="13"/>
    <n v="176397"/>
    <n v="18625921.5"/>
    <n v="54"/>
    <n v="11622"/>
    <n v="10754"/>
    <n v="344924.47222222225"/>
    <x v="5"/>
  </r>
  <r>
    <d v="2020-05-26T00:00:00"/>
    <x v="13"/>
    <n v="232369.5"/>
    <n v="23856345"/>
    <n v="54"/>
    <n v="14482"/>
    <n v="13510"/>
    <n v="441784.16666666669"/>
    <x v="1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3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5"/>
  </r>
  <r>
    <d v="2020-05-13T00:00:00"/>
    <x v="13"/>
    <n v="188662.5"/>
    <n v="18784000.5"/>
    <n v="54"/>
    <n v="11522"/>
    <n v="10803"/>
    <n v="347851.86111111112"/>
    <x v="3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5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5"/>
  </r>
  <r>
    <d v="2020-05-23T00:00:00"/>
    <x v="13"/>
    <n v="275793"/>
    <n v="26806626"/>
    <n v="54"/>
    <n v="16221"/>
    <n v="15065"/>
    <n v="496419"/>
    <x v="1"/>
  </r>
  <r>
    <d v="2020-05-28T00:00:00"/>
    <x v="12"/>
    <n v="199753.5"/>
    <n v="20535733.5"/>
    <n v="60"/>
    <n v="12854"/>
    <n v="11954"/>
    <n v="342262.22499999998"/>
    <x v="1"/>
  </r>
  <r>
    <d v="2020-05-25T00:00:00"/>
    <x v="13"/>
    <n v="192948"/>
    <n v="19806927"/>
    <n v="54"/>
    <n v="12336"/>
    <n v="11519"/>
    <n v="366794.94444444444"/>
    <x v="2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5"/>
  </r>
  <r>
    <d v="2020-05-07T00:00:00"/>
    <x v="13"/>
    <n v="209415"/>
    <n v="21463023"/>
    <n v="54"/>
    <n v="12743"/>
    <n v="11858"/>
    <n v="397463.38888888888"/>
    <x v="5"/>
  </r>
  <r>
    <d v="2020-05-24T00:00:00"/>
    <x v="13"/>
    <n v="193719"/>
    <n v="19071117"/>
    <n v="54"/>
    <n v="12211"/>
    <n v="11427"/>
    <n v="353168.83333333331"/>
    <x v="1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1"/>
  </r>
  <r>
    <d v="2020-05-16T00:00:00"/>
    <x v="14"/>
    <n v="16368"/>
    <n v="1316350.5"/>
    <n v="16"/>
    <n v="920"/>
    <n v="818"/>
    <n v="82271.90625"/>
    <x v="2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2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4"/>
  </r>
  <r>
    <d v="2020-05-02T00:00:00"/>
    <x v="14"/>
    <n v="10018.5"/>
    <n v="816859.5"/>
    <n v="15"/>
    <n v="567"/>
    <n v="493"/>
    <n v="54457.3"/>
    <x v="5"/>
  </r>
  <r>
    <d v="2020-05-26T00:00:00"/>
    <x v="15"/>
    <n v="10437"/>
    <n v="833815.5"/>
    <n v="7"/>
    <n v="577"/>
    <n v="389"/>
    <n v="119116.5"/>
    <x v="1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3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5"/>
  </r>
  <r>
    <d v="2020-05-13T00:00:00"/>
    <x v="14"/>
    <n v="14643"/>
    <n v="1172691"/>
    <n v="15"/>
    <n v="854"/>
    <n v="756"/>
    <n v="78179.399999999994"/>
    <x v="3"/>
  </r>
  <r>
    <d v="2020-05-03T00:00:00"/>
    <x v="14"/>
    <n v="10032"/>
    <n v="816150"/>
    <n v="15"/>
    <n v="585"/>
    <n v="502"/>
    <n v="54410"/>
    <x v="5"/>
  </r>
  <r>
    <d v="2020-05-06T00:00:00"/>
    <x v="14"/>
    <n v="12468"/>
    <n v="1016566.5"/>
    <n v="15"/>
    <n v="701"/>
    <n v="611"/>
    <n v="67771.100000000006"/>
    <x v="5"/>
  </r>
  <r>
    <d v="2020-05-23T00:00:00"/>
    <x v="14"/>
    <n v="17943"/>
    <n v="1457391"/>
    <n v="18"/>
    <n v="1031"/>
    <n v="918"/>
    <n v="80966.166666666672"/>
    <x v="1"/>
  </r>
  <r>
    <d v="2020-05-25T00:00:00"/>
    <x v="14"/>
    <n v="15807"/>
    <n v="1326705"/>
    <n v="18"/>
    <n v="989"/>
    <n v="887"/>
    <n v="73705.833333333328"/>
    <x v="2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5"/>
  </r>
  <r>
    <d v="2020-05-07T00:00:00"/>
    <x v="14"/>
    <n v="11719.5"/>
    <n v="965880"/>
    <n v="15"/>
    <n v="676"/>
    <n v="591"/>
    <n v="64392"/>
    <x v="5"/>
  </r>
  <r>
    <d v="2020-05-24T00:00:00"/>
    <x v="14"/>
    <n v="17197.5"/>
    <n v="1386262.5"/>
    <n v="18"/>
    <n v="1006"/>
    <n v="904"/>
    <n v="77014.583333333328"/>
    <x v="1"/>
  </r>
  <r>
    <d v="2020-05-26T00:00:00"/>
    <x v="14"/>
    <n v="14419.5"/>
    <n v="1210456.5"/>
    <n v="18"/>
    <n v="914"/>
    <n v="804"/>
    <n v="67247.583333333328"/>
    <x v="1"/>
  </r>
  <r>
    <d v="2020-06-01T00:00:00"/>
    <x v="0"/>
    <n v="7816.5"/>
    <n v="636345"/>
    <n v="15"/>
    <n v="453"/>
    <n v="370"/>
    <n v="42423"/>
    <x v="1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1"/>
  </r>
  <r>
    <d v="2020-05-28T00:00:00"/>
    <x v="15"/>
    <n v="8428.5"/>
    <n v="694669.5"/>
    <n v="7"/>
    <n v="420"/>
    <n v="347"/>
    <n v="99238.5"/>
    <x v="1"/>
  </r>
  <r>
    <d v="2020-05-27T00:00:00"/>
    <x v="1"/>
    <n v="32817"/>
    <n v="3015751.5"/>
    <n v="20"/>
    <n v="2079"/>
    <n v="1893"/>
    <n v="150787.57500000001"/>
    <x v="1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5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1"/>
  </r>
  <r>
    <d v="2020-05-18T00:00:00"/>
    <x v="1"/>
    <n v="31329"/>
    <n v="2826379.5"/>
    <n v="21"/>
    <n v="1834"/>
    <n v="1660"/>
    <n v="134589.5"/>
    <x v="3"/>
  </r>
  <r>
    <d v="2020-05-14T00:00:00"/>
    <x v="1"/>
    <n v="29658"/>
    <n v="2703132"/>
    <n v="21"/>
    <n v="1706"/>
    <n v="1548"/>
    <n v="128720.57142857143"/>
    <x v="3"/>
  </r>
  <r>
    <d v="2020-05-15T00:00:00"/>
    <x v="1"/>
    <n v="34150.5"/>
    <n v="3038293.5"/>
    <n v="21"/>
    <n v="1926"/>
    <n v="1742"/>
    <n v="144680.64285714287"/>
    <x v="3"/>
  </r>
  <r>
    <d v="2020-06-01T00:00:00"/>
    <x v="1"/>
    <n v="31947"/>
    <n v="2945035.5"/>
    <n v="21"/>
    <n v="2025"/>
    <n v="1849"/>
    <n v="140239.78571428571"/>
    <x v="1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1"/>
  </r>
  <r>
    <d v="2020-05-27T00:00:00"/>
    <x v="2"/>
    <n v="78544.5"/>
    <n v="6701083.5"/>
    <n v="31"/>
    <n v="5330"/>
    <n v="4977"/>
    <n v="216163.98387096773"/>
    <x v="1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1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5"/>
  </r>
  <r>
    <d v="2020-05-18T00:00:00"/>
    <x v="2"/>
    <n v="78058.5"/>
    <n v="6609714"/>
    <n v="31"/>
    <n v="5165"/>
    <n v="4813"/>
    <n v="213216.5806451613"/>
    <x v="3"/>
  </r>
  <r>
    <d v="2020-05-14T00:00:00"/>
    <x v="2"/>
    <n v="70498.5"/>
    <n v="6053649"/>
    <n v="31"/>
    <n v="4695"/>
    <n v="4372"/>
    <n v="195279"/>
    <x v="3"/>
  </r>
  <r>
    <d v="2020-05-15T00:00:00"/>
    <x v="2"/>
    <n v="78961.5"/>
    <n v="6876454.5"/>
    <n v="31"/>
    <n v="5184"/>
    <n v="4778"/>
    <n v="221821.11290322582"/>
    <x v="3"/>
  </r>
  <r>
    <d v="2020-05-27T00:00:00"/>
    <x v="3"/>
    <n v="12490.5"/>
    <n v="1054798.5"/>
    <n v="10"/>
    <n v="757"/>
    <n v="660"/>
    <n v="105479.85"/>
    <x v="1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1"/>
  </r>
  <r>
    <d v="2020-05-11T00:00:00"/>
    <x v="3"/>
    <n v="9007.5"/>
    <n v="734335.5"/>
    <n v="10"/>
    <n v="494"/>
    <n v="421"/>
    <n v="73433.55"/>
    <x v="5"/>
  </r>
  <r>
    <d v="2020-05-29T00:00:00"/>
    <x v="2"/>
    <n v="87552"/>
    <n v="7387116"/>
    <n v="31"/>
    <n v="5751"/>
    <n v="5319"/>
    <n v="238294.06451612903"/>
    <x v="1"/>
  </r>
  <r>
    <d v="2020-05-18T00:00:00"/>
    <x v="3"/>
    <n v="11680.5"/>
    <n v="936427.5"/>
    <n v="10"/>
    <n v="645"/>
    <n v="565"/>
    <n v="93642.75"/>
    <x v="3"/>
  </r>
  <r>
    <d v="2020-05-14T00:00:00"/>
    <x v="3"/>
    <n v="12037.5"/>
    <n v="981564"/>
    <n v="10"/>
    <n v="627"/>
    <n v="545"/>
    <n v="98156.4"/>
    <x v="3"/>
  </r>
  <r>
    <d v="2020-05-15T00:00:00"/>
    <x v="3"/>
    <n v="14421"/>
    <n v="1150579.5"/>
    <n v="10"/>
    <n v="743"/>
    <n v="652"/>
    <n v="115057.95"/>
    <x v="3"/>
  </r>
  <r>
    <d v="2020-05-29T00:00:00"/>
    <x v="3"/>
    <n v="14823"/>
    <n v="1273464"/>
    <n v="10"/>
    <n v="873"/>
    <n v="770"/>
    <n v="127346.4"/>
    <x v="1"/>
  </r>
  <r>
    <d v="2020-05-27T00:00:00"/>
    <x v="4"/>
    <n v="31257"/>
    <n v="2924133"/>
    <n v="20"/>
    <n v="2079"/>
    <n v="1856"/>
    <n v="146206.65"/>
    <x v="1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1"/>
  </r>
  <r>
    <d v="2020-05-11T00:00:00"/>
    <x v="4"/>
    <n v="42397.5"/>
    <n v="3911979"/>
    <n v="19"/>
    <n v="2530"/>
    <n v="2270"/>
    <n v="205893.63157894736"/>
    <x v="5"/>
  </r>
  <r>
    <d v="2020-05-18T00:00:00"/>
    <x v="4"/>
    <n v="28668"/>
    <n v="2588148"/>
    <n v="19"/>
    <n v="1858"/>
    <n v="1648"/>
    <n v="136218.31578947368"/>
    <x v="3"/>
  </r>
  <r>
    <d v="2020-05-14T00:00:00"/>
    <x v="4"/>
    <n v="27411"/>
    <n v="2441520"/>
    <n v="19"/>
    <n v="1675"/>
    <n v="1475"/>
    <n v="128501.05263157895"/>
    <x v="3"/>
  </r>
  <r>
    <d v="2020-05-15T00:00:00"/>
    <x v="4"/>
    <n v="32854.5"/>
    <n v="2949078"/>
    <n v="19"/>
    <n v="1940"/>
    <n v="1715"/>
    <n v="155214.63157894736"/>
    <x v="3"/>
  </r>
  <r>
    <d v="2020-05-29T00:00:00"/>
    <x v="4"/>
    <n v="35346"/>
    <n v="3258054"/>
    <n v="20"/>
    <n v="2249"/>
    <n v="2000"/>
    <n v="162902.70000000001"/>
    <x v="1"/>
  </r>
  <r>
    <d v="2020-05-27T00:00:00"/>
    <x v="5"/>
    <n v="286558.5"/>
    <n v="29256993"/>
    <n v="129"/>
    <n v="17115"/>
    <n v="15962"/>
    <n v="226798.39534883722"/>
    <x v="1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1"/>
  </r>
  <r>
    <d v="2020-05-11T00:00:00"/>
    <x v="5"/>
    <n v="237099"/>
    <n v="24628233.223949999"/>
    <n v="129"/>
    <n v="14043"/>
    <n v="13167"/>
    <n v="190916.53661976743"/>
    <x v="5"/>
  </r>
  <r>
    <d v="2020-05-18T00:00:00"/>
    <x v="5"/>
    <n v="273900"/>
    <n v="27535284.147600003"/>
    <n v="129"/>
    <n v="16110"/>
    <n v="14992"/>
    <n v="213451.81509767444"/>
    <x v="3"/>
  </r>
  <r>
    <d v="2020-05-14T00:00:00"/>
    <x v="5"/>
    <n v="274059"/>
    <n v="28181292"/>
    <n v="129"/>
    <n v="15804"/>
    <n v="14738"/>
    <n v="218459.62790697673"/>
    <x v="3"/>
  </r>
  <r>
    <d v="2020-05-15T00:00:00"/>
    <x v="5"/>
    <n v="318816"/>
    <n v="32354331"/>
    <n v="129"/>
    <n v="17808"/>
    <n v="16486"/>
    <n v="250808.76744186046"/>
    <x v="3"/>
  </r>
  <r>
    <d v="2020-05-27T00:00:00"/>
    <x v="6"/>
    <n v="370012.5"/>
    <n v="39034861.5"/>
    <n v="124"/>
    <n v="21384"/>
    <n v="19897"/>
    <n v="314797.2701612903"/>
    <x v="1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1"/>
  </r>
  <r>
    <d v="2020-05-11T00:00:00"/>
    <x v="6"/>
    <n v="318565.5"/>
    <n v="33781581"/>
    <n v="125"/>
    <n v="18066"/>
    <n v="16883"/>
    <n v="270252.64799999999"/>
    <x v="5"/>
  </r>
  <r>
    <d v="2020-05-29T00:00:00"/>
    <x v="5"/>
    <n v="422965.5"/>
    <n v="41767140.105000004"/>
    <n v="129"/>
    <n v="22403"/>
    <n v="20676"/>
    <n v="323776.27988372097"/>
    <x v="1"/>
  </r>
  <r>
    <d v="2020-05-18T00:00:00"/>
    <x v="6"/>
    <n v="355081.5"/>
    <n v="36876888"/>
    <n v="125"/>
    <n v="20449"/>
    <n v="19060"/>
    <n v="295015.10399999999"/>
    <x v="3"/>
  </r>
  <r>
    <d v="2020-05-14T00:00:00"/>
    <x v="6"/>
    <n v="358387.5"/>
    <n v="37963150.5"/>
    <n v="125"/>
    <n v="20247"/>
    <n v="18812"/>
    <n v="303705.20400000003"/>
    <x v="3"/>
  </r>
  <r>
    <d v="2020-05-15T00:00:00"/>
    <x v="6"/>
    <n v="403261.5"/>
    <n v="42271377"/>
    <n v="125"/>
    <n v="21862"/>
    <n v="20235"/>
    <n v="338171.016"/>
    <x v="3"/>
  </r>
  <r>
    <d v="2020-05-27T00:00:00"/>
    <x v="7"/>
    <n v="69010.5"/>
    <n v="5985894"/>
    <n v="36"/>
    <n v="4951"/>
    <n v="4584"/>
    <n v="166274.83333333334"/>
    <x v="1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1"/>
  </r>
  <r>
    <d v="2020-05-11T00:00:00"/>
    <x v="7"/>
    <n v="59574"/>
    <n v="5178169.5"/>
    <n v="36"/>
    <n v="4150"/>
    <n v="3838"/>
    <n v="143838.04166666666"/>
    <x v="5"/>
  </r>
  <r>
    <d v="2020-05-29T00:00:00"/>
    <x v="6"/>
    <n v="524481"/>
    <n v="54172029"/>
    <n v="124"/>
    <n v="25828"/>
    <n v="23974"/>
    <n v="436871.20161290321"/>
    <x v="1"/>
  </r>
  <r>
    <d v="2020-05-18T00:00:00"/>
    <x v="7"/>
    <n v="70278"/>
    <n v="5798476.5"/>
    <n v="36"/>
    <n v="4885"/>
    <n v="4502"/>
    <n v="161068.79166666666"/>
    <x v="3"/>
  </r>
  <r>
    <d v="2020-05-14T00:00:00"/>
    <x v="7"/>
    <n v="63645"/>
    <n v="5366602.5"/>
    <n v="36"/>
    <n v="4285"/>
    <n v="3950"/>
    <n v="149072.29166666666"/>
    <x v="3"/>
  </r>
  <r>
    <d v="2020-05-15T00:00:00"/>
    <x v="7"/>
    <n v="75642"/>
    <n v="6293952"/>
    <n v="36"/>
    <n v="4862"/>
    <n v="4476"/>
    <n v="174832"/>
    <x v="3"/>
  </r>
  <r>
    <d v="2020-05-27T00:00:00"/>
    <x v="8"/>
    <n v="40420.5"/>
    <n v="3780852"/>
    <n v="21"/>
    <n v="2430"/>
    <n v="2216"/>
    <n v="180040.57142857142"/>
    <x v="1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1"/>
  </r>
  <r>
    <d v="2020-05-11T00:00:00"/>
    <x v="8"/>
    <n v="32733"/>
    <n v="3079630.5"/>
    <n v="21"/>
    <n v="1916"/>
    <n v="1733"/>
    <n v="146649.07142857142"/>
    <x v="5"/>
  </r>
  <r>
    <d v="2020-05-29T00:00:00"/>
    <x v="7"/>
    <n v="84433.5"/>
    <n v="7228395"/>
    <n v="37"/>
    <n v="5672"/>
    <n v="5198"/>
    <n v="195362.02702702704"/>
    <x v="1"/>
  </r>
  <r>
    <d v="2020-05-18T00:00:00"/>
    <x v="8"/>
    <n v="36655.5"/>
    <n v="3360135"/>
    <n v="21"/>
    <n v="2136"/>
    <n v="1947"/>
    <n v="160006.42857142858"/>
    <x v="3"/>
  </r>
  <r>
    <d v="2020-05-14T00:00:00"/>
    <x v="8"/>
    <n v="33886.5"/>
    <n v="3166479"/>
    <n v="21"/>
    <n v="1993"/>
    <n v="1796"/>
    <n v="150784.71428571429"/>
    <x v="3"/>
  </r>
  <r>
    <d v="2020-05-15T00:00:00"/>
    <x v="8"/>
    <n v="41697"/>
    <n v="3772258.5"/>
    <n v="21"/>
    <n v="2255"/>
    <n v="2045"/>
    <n v="179631.35714285713"/>
    <x v="3"/>
  </r>
  <r>
    <d v="2020-05-29T00:00:00"/>
    <x v="8"/>
    <n v="44569.5"/>
    <n v="4108596"/>
    <n v="22"/>
    <n v="2597"/>
    <n v="2379"/>
    <n v="186754.36363636365"/>
    <x v="1"/>
  </r>
  <r>
    <d v="2020-05-27T00:00:00"/>
    <x v="9"/>
    <n v="18069"/>
    <n v="1603084.5"/>
    <n v="17"/>
    <n v="1203"/>
    <n v="1077"/>
    <n v="94299.088235294112"/>
    <x v="1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1"/>
  </r>
  <r>
    <d v="2020-05-11T00:00:00"/>
    <x v="9"/>
    <n v="12238.5"/>
    <n v="1096002"/>
    <n v="15"/>
    <n v="812"/>
    <n v="714"/>
    <n v="73066.8"/>
    <x v="5"/>
  </r>
  <r>
    <d v="2020-05-18T00:00:00"/>
    <x v="9"/>
    <n v="14290.5"/>
    <n v="1246162.5"/>
    <n v="16"/>
    <n v="925"/>
    <n v="816"/>
    <n v="77885.15625"/>
    <x v="3"/>
  </r>
  <r>
    <d v="2020-05-14T00:00:00"/>
    <x v="9"/>
    <n v="14385"/>
    <n v="1223491.5"/>
    <n v="15"/>
    <n v="890"/>
    <n v="777"/>
    <n v="81566.100000000006"/>
    <x v="3"/>
  </r>
  <r>
    <d v="2020-05-15T00:00:00"/>
    <x v="9"/>
    <n v="16498.5"/>
    <n v="1370482.5"/>
    <n v="15"/>
    <n v="980"/>
    <n v="867"/>
    <n v="91365.5"/>
    <x v="3"/>
  </r>
  <r>
    <d v="2020-05-27T00:00:00"/>
    <x v="10"/>
    <n v="13203"/>
    <n v="1211457"/>
    <n v="15"/>
    <n v="809"/>
    <n v="702"/>
    <n v="80763.8"/>
    <x v="1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1"/>
  </r>
  <r>
    <d v="2020-05-11T00:00:00"/>
    <x v="10"/>
    <n v="12654"/>
    <n v="1081158"/>
    <n v="15"/>
    <n v="684"/>
    <n v="585"/>
    <n v="72077.2"/>
    <x v="5"/>
  </r>
  <r>
    <d v="2020-05-29T00:00:00"/>
    <x v="9"/>
    <n v="19647"/>
    <n v="1764669"/>
    <n v="17"/>
    <n v="1296"/>
    <n v="1153"/>
    <n v="103804.05882352941"/>
    <x v="1"/>
  </r>
  <r>
    <d v="2020-05-18T00:00:00"/>
    <x v="10"/>
    <n v="12450"/>
    <n v="1115146.5"/>
    <n v="15"/>
    <n v="729"/>
    <n v="636"/>
    <n v="74343.100000000006"/>
    <x v="3"/>
  </r>
  <r>
    <d v="2020-05-14T00:00:00"/>
    <x v="10"/>
    <n v="11161.5"/>
    <n v="963502.5"/>
    <n v="15"/>
    <n v="638"/>
    <n v="548"/>
    <n v="64233.5"/>
    <x v="3"/>
  </r>
  <r>
    <d v="2020-05-15T00:00:00"/>
    <x v="10"/>
    <n v="12229.5"/>
    <n v="1122730.5"/>
    <n v="15"/>
    <n v="688"/>
    <n v="598"/>
    <n v="74848.7"/>
    <x v="3"/>
  </r>
  <r>
    <d v="2020-05-27T00:00:00"/>
    <x v="11"/>
    <n v="28050"/>
    <n v="2458555.5"/>
    <n v="20"/>
    <n v="1873"/>
    <n v="1715"/>
    <n v="122927.77499999999"/>
    <x v="1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1"/>
  </r>
  <r>
    <d v="2020-05-11T00:00:00"/>
    <x v="11"/>
    <n v="23629.5"/>
    <n v="2164365"/>
    <n v="19"/>
    <n v="1527"/>
    <n v="1389"/>
    <n v="113913.94736842105"/>
    <x v="5"/>
  </r>
  <r>
    <d v="2020-05-29T00:00:00"/>
    <x v="10"/>
    <n v="17052"/>
    <n v="1549020"/>
    <n v="16"/>
    <n v="981"/>
    <n v="859"/>
    <n v="96813.75"/>
    <x v="1"/>
  </r>
  <r>
    <d v="2020-05-18T00:00:00"/>
    <x v="11"/>
    <n v="27181.5"/>
    <n v="2324490"/>
    <n v="19"/>
    <n v="1741"/>
    <n v="1597"/>
    <n v="122341.57894736843"/>
    <x v="3"/>
  </r>
  <r>
    <d v="2020-05-14T00:00:00"/>
    <x v="11"/>
    <n v="25656"/>
    <n v="2225341.5"/>
    <n v="19"/>
    <n v="1635"/>
    <n v="1487"/>
    <n v="117123.23684210527"/>
    <x v="3"/>
  </r>
  <r>
    <d v="2020-05-15T00:00:00"/>
    <x v="11"/>
    <n v="29283"/>
    <n v="2477487"/>
    <n v="19"/>
    <n v="1780"/>
    <n v="1615"/>
    <n v="130394.05263157895"/>
    <x v="3"/>
  </r>
  <r>
    <d v="2020-05-29T00:00:00"/>
    <x v="11"/>
    <n v="32782.5"/>
    <n v="2854741.5"/>
    <n v="20"/>
    <n v="2064"/>
    <n v="1896"/>
    <n v="142737.07500000001"/>
    <x v="1"/>
  </r>
  <r>
    <d v="2020-05-27T00:00:00"/>
    <x v="12"/>
    <n v="215592"/>
    <n v="22342300.5"/>
    <n v="59"/>
    <n v="13942"/>
    <n v="12986"/>
    <n v="378683.05932203389"/>
    <x v="1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1"/>
  </r>
  <r>
    <d v="2020-05-11T00:00:00"/>
    <x v="12"/>
    <n v="175293"/>
    <n v="17919144"/>
    <n v="60"/>
    <n v="11100"/>
    <n v="10407"/>
    <n v="298652.40000000002"/>
    <x v="5"/>
  </r>
  <r>
    <d v="2020-05-18T00:00:00"/>
    <x v="12"/>
    <n v="201999"/>
    <n v="20422435.5"/>
    <n v="60"/>
    <n v="12460"/>
    <n v="11665"/>
    <n v="340373.92499999999"/>
    <x v="3"/>
  </r>
  <r>
    <d v="2020-05-14T00:00:00"/>
    <x v="12"/>
    <n v="197946"/>
    <n v="19942435.5"/>
    <n v="60"/>
    <n v="11935"/>
    <n v="11178"/>
    <n v="332373.92499999999"/>
    <x v="3"/>
  </r>
  <r>
    <d v="2020-05-15T00:00:00"/>
    <x v="12"/>
    <n v="230896.5"/>
    <n v="23085222"/>
    <n v="60"/>
    <n v="13544"/>
    <n v="12643"/>
    <n v="384753.7"/>
    <x v="3"/>
  </r>
  <r>
    <d v="2020-05-27T00:00:00"/>
    <x v="13"/>
    <n v="203532"/>
    <n v="20953324.5"/>
    <n v="54"/>
    <n v="13091"/>
    <n v="12216"/>
    <n v="388024.52777777775"/>
    <x v="1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1"/>
  </r>
  <r>
    <d v="2020-05-11T00:00:00"/>
    <x v="13"/>
    <n v="166948.5"/>
    <n v="16971231"/>
    <n v="54"/>
    <n v="10570"/>
    <n v="9926"/>
    <n v="314282.05555555556"/>
    <x v="5"/>
  </r>
  <r>
    <d v="2020-05-29T00:00:00"/>
    <x v="12"/>
    <n v="232102.5"/>
    <n v="23120443.5"/>
    <n v="59"/>
    <n v="14507"/>
    <n v="13386"/>
    <n v="391871.92372881353"/>
    <x v="1"/>
  </r>
  <r>
    <d v="2020-05-18T00:00:00"/>
    <x v="13"/>
    <n v="196560"/>
    <n v="19855122"/>
    <n v="54"/>
    <n v="12012"/>
    <n v="11308"/>
    <n v="367687.44444444444"/>
    <x v="3"/>
  </r>
  <r>
    <d v="2020-05-14T00:00:00"/>
    <x v="13"/>
    <n v="186496.5"/>
    <n v="18640998"/>
    <n v="54"/>
    <n v="11194"/>
    <n v="10554"/>
    <n v="345203.66666666669"/>
    <x v="3"/>
  </r>
  <r>
    <d v="2020-05-15T00:00:00"/>
    <x v="13"/>
    <n v="219772.5"/>
    <n v="21895294.5"/>
    <n v="54"/>
    <n v="12791"/>
    <n v="11950"/>
    <n v="405468.41666666669"/>
    <x v="3"/>
  </r>
  <r>
    <d v="2020-05-29T00:00:00"/>
    <x v="13"/>
    <n v="226476"/>
    <n v="22416151.5"/>
    <n v="54"/>
    <n v="14031"/>
    <n v="12943"/>
    <n v="415113.91666666669"/>
    <x v="1"/>
  </r>
  <r>
    <d v="2020-05-27T00:00:00"/>
    <x v="15"/>
    <n v="8362.5"/>
    <n v="687684"/>
    <n v="7"/>
    <n v="409"/>
    <n v="329"/>
    <n v="98240.571428571435"/>
    <x v="1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1"/>
  </r>
  <r>
    <d v="2020-05-11T00:00:00"/>
    <x v="14"/>
    <n v="10941"/>
    <n v="880356"/>
    <n v="15"/>
    <n v="654"/>
    <n v="564"/>
    <n v="58690.400000000001"/>
    <x v="5"/>
  </r>
  <r>
    <d v="2020-05-18T00:00:00"/>
    <x v="14"/>
    <n v="14497.5"/>
    <n v="1230711"/>
    <n v="16"/>
    <n v="864"/>
    <n v="765"/>
    <n v="76919.4375"/>
    <x v="3"/>
  </r>
  <r>
    <d v="2020-05-14T00:00:00"/>
    <x v="14"/>
    <n v="13810.5"/>
    <n v="1131676.5"/>
    <n v="16"/>
    <n v="834"/>
    <n v="735"/>
    <n v="70729.78125"/>
    <x v="3"/>
  </r>
  <r>
    <d v="2020-05-15T00:00:00"/>
    <x v="14"/>
    <n v="13752"/>
    <n v="1091040"/>
    <n v="16"/>
    <n v="817"/>
    <n v="718"/>
    <n v="68190"/>
    <x v="3"/>
  </r>
  <r>
    <d v="2020-05-27T00:00:00"/>
    <x v="14"/>
    <n v="15276"/>
    <n v="1350199.5"/>
    <n v="18"/>
    <n v="962"/>
    <n v="859"/>
    <n v="75011.083333333328"/>
    <x v="1"/>
  </r>
  <r>
    <d v="2020-06-01T00:00:00"/>
    <x v="17"/>
    <n v="4408.5"/>
    <n v="410892"/>
    <n v="6"/>
    <n v="237"/>
    <n v="175"/>
    <n v="68482"/>
    <x v="1"/>
  </r>
  <r>
    <d v="2020-05-29T00:00:00"/>
    <x v="15"/>
    <n v="9927"/>
    <n v="850840.5"/>
    <n v="7"/>
    <n v="491"/>
    <n v="411"/>
    <n v="121548.64285714286"/>
    <x v="1"/>
  </r>
  <r>
    <d v="2020-06-01T00:00:00"/>
    <x v="15"/>
    <n v="9474"/>
    <n v="802447.5"/>
    <n v="7"/>
    <n v="500"/>
    <n v="418"/>
    <n v="114635.35714285714"/>
    <x v="1"/>
  </r>
  <r>
    <d v="2020-05-29T00:00:00"/>
    <x v="14"/>
    <n v="16878"/>
    <n v="1438255.5"/>
    <n v="18"/>
    <n v="1014"/>
    <n v="893"/>
    <n v="79903.083333333328"/>
    <x v="1"/>
  </r>
  <r>
    <d v="2020-06-01T00:00:00"/>
    <x v="14"/>
    <n v="14238"/>
    <n v="1293219"/>
    <n v="18"/>
    <n v="923"/>
    <n v="824"/>
    <n v="71845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6" cacheId="2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E37:G44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5"/>
        <item x="3"/>
        <item x="2"/>
        <item x="1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5" cacheId="2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H13:I32" firstHeaderRow="1" firstDataRow="1" firstDataCol="1" rowPageCount="1" colPageCount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4"/>
        <item h="1" x="5"/>
        <item h="1" x="3"/>
        <item h="1" x="2"/>
        <item h="1" x="1"/>
        <item x="0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8" hier="-1"/>
  </pageFields>
  <dataFields count="1">
    <dataField name="Сумма по полю Товарооборот на склад" fld="7" showDataAs="percentOfTotal" baseField="1" baseItem="0" numFmtId="10"/>
  </dataFields>
  <formats count="6">
    <format dxfId="5">
      <pivotArea collapsedLevelsAreSubtotals="1" fieldPosition="0">
        <references count="1">
          <reference field="1" count="1">
            <x v="5"/>
          </reference>
        </references>
      </pivotArea>
    </format>
    <format dxfId="4">
      <pivotArea dataOnly="0" labelOnly="1" fieldPosition="0">
        <references count="1">
          <reference field="1" count="1">
            <x v="5"/>
          </reference>
        </references>
      </pivotArea>
    </format>
    <format dxfId="3">
      <pivotArea collapsedLevelsAreSubtotals="1" fieldPosition="0">
        <references count="1">
          <reference field="1" count="1">
            <x v="6"/>
          </reference>
        </references>
      </pivotArea>
    </format>
    <format dxfId="2">
      <pivotArea dataOnly="0" labelOnly="1" fieldPosition="0">
        <references count="1">
          <reference field="1" count="1">
            <x v="6"/>
          </reference>
        </references>
      </pivotArea>
    </format>
    <format dxfId="1">
      <pivotArea collapsedLevelsAreSubtotals="1" fieldPosition="0">
        <references count="1">
          <reference field="1" count="1">
            <x v="12"/>
          </reference>
        </references>
      </pivotArea>
    </format>
    <format dxfId="0">
      <pivotArea dataOnly="0" labelOnly="1" fieldPosition="0">
        <references count="1">
          <reference field="1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4" cacheId="2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E13:F32" firstHeaderRow="1" firstDataRow="1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1" baseItem="0" numFmtId="10"/>
  </dataFields>
  <formats count="5">
    <format dxfId="10">
      <pivotArea dataOnly="0" fieldPosition="0">
        <references count="1">
          <reference field="1" count="1">
            <x v="12"/>
          </reference>
        </references>
      </pivotArea>
    </format>
    <format dxfId="9">
      <pivotArea collapsedLevelsAreSubtotals="1" fieldPosition="0">
        <references count="1">
          <reference field="1" count="1">
            <x v="13"/>
          </reference>
        </references>
      </pivotArea>
    </format>
    <format dxfId="8">
      <pivotArea dataOnly="0" labelOnly="1" fieldPosition="0">
        <references count="1">
          <reference field="1" count="1">
            <x v="13"/>
          </reference>
        </references>
      </pivotArea>
    </format>
    <format dxfId="7">
      <pivotArea collapsedLevelsAreSubtotals="1" fieldPosition="0">
        <references count="1">
          <reference field="1" count="1">
            <x v="6"/>
          </reference>
        </references>
      </pivotArea>
    </format>
    <format dxfId="6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3" cacheId="2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6:C117" firstHeaderRow="0" firstDataRow="1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5"/>
        <item x="3"/>
        <item x="2"/>
        <item x="1"/>
        <item x="0"/>
        <item t="default"/>
      </items>
    </pivotField>
  </pivotFields>
  <rowFields count="2">
    <field x="1"/>
    <field x="8"/>
  </rowFields>
  <rowItems count="11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 v="4"/>
    </i>
    <i r="1">
      <x v="5"/>
    </i>
    <i>
      <x v="16"/>
    </i>
    <i r="1">
      <x v="4"/>
    </i>
    <i r="1">
      <x v="5"/>
    </i>
    <i>
      <x v="17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I505" totalsRowShown="0" headerRowDxfId="27" dataDxfId="28" tableBorderDxfId="31">
  <autoFilter ref="A1:I505"/>
  <tableColumns count="9">
    <tableColumn id="1" name="Дата" dataDxfId="14"/>
    <tableColumn id="2" name="Территория" dataDxfId="13"/>
    <tableColumn id="3" name="Товарооборот, шт" dataDxfId="30"/>
    <tableColumn id="4" name="Товарооборот, руб" dataDxfId="29"/>
    <tableColumn id="5" name="Количество складов" dataDxfId="17">
      <calculatedColumnFormula>SUMIFS(Лист2!$C:$C, Лист2!$A:$A, $A2, Лист2!$B:$B, $B2)</calculatedColumnFormula>
    </tableColumn>
    <tableColumn id="6" name="Количество заказов" dataDxfId="16">
      <calculatedColumnFormula>SUMIFS(Лист2!$D:$D, Лист2!$A:$A, $A2, Лист2!$B:$B, $B2)</calculatedColumnFormula>
    </tableColumn>
    <tableColumn id="7" name="Количество клиентов" dataDxfId="15">
      <calculatedColumnFormula>SUMIFS(Лист2!$E:$E, Лист2!$A:$A, $A2, Лист2!$B:$B, $B2)</calculatedColumnFormula>
    </tableColumn>
    <tableColumn id="8" name="Товарооборот на склад" dataDxfId="11">
      <calculatedColumnFormula>IFERROR(Таблица1[[#This Row],[Товарооборот, руб]]/Таблица1[[#This Row],[Количество складов]],0)</calculatedColumnFormula>
    </tableColumn>
    <tableColumn id="9" name="Неделя" dataDxfId="12">
      <calculatedColumnFormula>INT((A2-DATE(YEAR(A2),1,1)+WEEKDAY(A2,2)+6)/7)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E505" totalsRowShown="0" headerRowDxfId="18" dataDxfId="19" headerRowBorderDxfId="25" tableBorderDxfId="26">
  <autoFilter ref="A1:E505"/>
  <tableColumns count="5">
    <tableColumn id="1" name="Дата" dataDxfId="24"/>
    <tableColumn id="2" name="Территория" dataDxfId="23"/>
    <tableColumn id="3" name="Количество складов" dataDxfId="22"/>
    <tableColumn id="4" name="Количество заказов" dataDxfId="21"/>
    <tableColumn id="5" name="Количество клиентов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opLeftCell="A2" workbookViewId="0">
      <selection activeCell="A2" sqref="A2"/>
    </sheetView>
  </sheetViews>
  <sheetFormatPr defaultColWidth="14.44140625" defaultRowHeight="15" customHeight="1" x14ac:dyDescent="0.3"/>
  <cols>
    <col min="1" max="1" width="13.7773437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3" ht="14.25" customHeight="1" x14ac:dyDescent="0.3">
      <c r="A1" s="12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>
        <f>SUMIFS(Лист2!$C:$C, Лист2!$A:$A, $A2, Лист2!$B:$B, $B2)</f>
        <v>15</v>
      </c>
      <c r="F2" s="3">
        <f>SUMIFS(Лист2!$D:$D, Лист2!$A:$A, $A2, Лист2!$B:$B, $B2)</f>
        <v>441</v>
      </c>
      <c r="G2" s="3">
        <f>SUMIFS(Лист2!$E:$E, Лист2!$A:$A, $A2, Лист2!$B:$B, $B2)</f>
        <v>368</v>
      </c>
      <c r="H2">
        <f>IFERROR(Таблица1[[#This Row],[Товарооборот, руб]]/Таблица1[[#This Row],[Количество складов]],0)</f>
        <v>41598.1</v>
      </c>
      <c r="I2">
        <f t="shared" ref="I2:I65" si="0">INT((A2-DATE(YEAR(A2),1,1)+WEEKDAY(A2,2)+6)/7)</f>
        <v>23</v>
      </c>
    </row>
    <row r="3" spans="1:23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>
        <f>SUMIFS(Лист2!$C:$C, Лист2!$A:$A, $A3, Лист2!$B:$B, $B3)</f>
        <v>15</v>
      </c>
      <c r="F3" s="3">
        <f>SUMIFS(Лист2!$D:$D, Лист2!$A:$A, $A3, Лист2!$B:$B, $B3)</f>
        <v>490</v>
      </c>
      <c r="G3" s="3">
        <f>SUMIFS(Лист2!$E:$E, Лист2!$A:$A, $A3, Лист2!$B:$B, $B3)</f>
        <v>409</v>
      </c>
      <c r="H3">
        <f>IFERROR(Таблица1[[#This Row],[Товарооборот, руб]]/Таблица1[[#This Row],[Количество складов]],0)</f>
        <v>52473.4</v>
      </c>
      <c r="I3">
        <f t="shared" si="0"/>
        <v>23</v>
      </c>
    </row>
    <row r="4" spans="1:23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>
        <f>SUMIFS(Лист2!$C:$C, Лист2!$A:$A, $A4, Лист2!$B:$B, $B4)</f>
        <v>15</v>
      </c>
      <c r="F4" s="3">
        <f>SUMIFS(Лист2!$D:$D, Лист2!$A:$A, $A4, Лист2!$B:$B, $B4)</f>
        <v>464</v>
      </c>
      <c r="G4" s="3">
        <f>SUMIFS(Лист2!$E:$E, Лист2!$A:$A, $A4, Лист2!$B:$B, $B4)</f>
        <v>390</v>
      </c>
      <c r="H4">
        <f>IFERROR(Таблица1[[#This Row],[Товарооборот, руб]]/Таблица1[[#This Row],[Количество складов]],0)</f>
        <v>42929.599999999999</v>
      </c>
      <c r="I4">
        <f t="shared" si="0"/>
        <v>22</v>
      </c>
    </row>
    <row r="5" spans="1:23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>
        <f>SUMIFS(Лист2!$C:$C, Лист2!$A:$A, $A5, Лист2!$B:$B, $B5)</f>
        <v>21</v>
      </c>
      <c r="F5" s="3">
        <f>SUMIFS(Лист2!$D:$D, Лист2!$A:$A, $A5, Лист2!$B:$B, $B5)</f>
        <v>2145</v>
      </c>
      <c r="G5" s="3">
        <f>SUMIFS(Лист2!$E:$E, Лист2!$A:$A, $A5, Лист2!$B:$B, $B5)</f>
        <v>1947</v>
      </c>
      <c r="H5">
        <f>IFERROR(Таблица1[[#This Row],[Товарооборот, руб]]/Таблица1[[#This Row],[Количество складов]],0)</f>
        <v>161709.14285714287</v>
      </c>
      <c r="I5">
        <f t="shared" si="0"/>
        <v>21</v>
      </c>
    </row>
    <row r="6" spans="1:23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>
        <f>SUMIFS(Лист2!$C:$C, Лист2!$A:$A, $A6, Лист2!$B:$B, $B6)</f>
        <v>21</v>
      </c>
      <c r="F6" s="3">
        <f>SUMIFS(Лист2!$D:$D, Лист2!$A:$A, $A6, Лист2!$B:$B, $B6)</f>
        <v>1860</v>
      </c>
      <c r="G6" s="3">
        <f>SUMIFS(Лист2!$E:$E, Лист2!$A:$A, $A6, Лист2!$B:$B, $B6)</f>
        <v>1704</v>
      </c>
      <c r="H6">
        <f>IFERROR(Таблица1[[#This Row],[Товарооборот, руб]]/Таблица1[[#This Row],[Количество складов]],0)</f>
        <v>131957.92857142858</v>
      </c>
      <c r="I6">
        <f t="shared" si="0"/>
        <v>21</v>
      </c>
    </row>
    <row r="7" spans="1:23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>
        <f>SUMIFS(Лист2!$C:$C, Лист2!$A:$A, $A7, Лист2!$B:$B, $B7)</f>
        <v>21</v>
      </c>
      <c r="F7" s="3">
        <f>SUMIFS(Лист2!$D:$D, Лист2!$A:$A, $A7, Лист2!$B:$B, $B7)</f>
        <v>1874</v>
      </c>
      <c r="G7" s="3">
        <f>SUMIFS(Лист2!$E:$E, Лист2!$A:$A, $A7, Лист2!$B:$B, $B7)</f>
        <v>1705</v>
      </c>
      <c r="H7">
        <f>IFERROR(Таблица1[[#This Row],[Товарооборот, руб]]/Таблица1[[#This Row],[Количество складов]],0)</f>
        <v>137259.92857142858</v>
      </c>
      <c r="I7">
        <f t="shared" si="0"/>
        <v>21</v>
      </c>
    </row>
    <row r="8" spans="1:23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>
        <f>SUMIFS(Лист2!$C:$C, Лист2!$A:$A, $A8, Лист2!$B:$B, $B8)</f>
        <v>21</v>
      </c>
      <c r="F8" s="3">
        <f>SUMIFS(Лист2!$D:$D, Лист2!$A:$A, $A8, Лист2!$B:$B, $B8)</f>
        <v>1735</v>
      </c>
      <c r="G8" s="3">
        <f>SUMIFS(Лист2!$E:$E, Лист2!$A:$A, $A8, Лист2!$B:$B, $B8)</f>
        <v>1568</v>
      </c>
      <c r="H8">
        <f>IFERROR(Таблица1[[#This Row],[Товарооборот, руб]]/Таблица1[[#This Row],[Количество складов]],0)</f>
        <v>134810.42857142858</v>
      </c>
      <c r="I8">
        <f t="shared" si="0"/>
        <v>20</v>
      </c>
    </row>
    <row r="9" spans="1:23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>
        <f>SUMIFS(Лист2!$C:$C, Лист2!$A:$A, $A9, Лист2!$B:$B, $B9)</f>
        <v>20</v>
      </c>
      <c r="F9" s="3">
        <f>SUMIFS(Лист2!$D:$D, Лист2!$A:$A, $A9, Лист2!$B:$B, $B9)</f>
        <v>1519</v>
      </c>
      <c r="G9" s="3">
        <f>SUMIFS(Лист2!$E:$E, Лист2!$A:$A, $A9, Лист2!$B:$B, $B9)</f>
        <v>1372</v>
      </c>
      <c r="H9">
        <f>IFERROR(Таблица1[[#This Row],[Товарооборот, руб]]/Таблица1[[#This Row],[Количество складов]],0)</f>
        <v>118615.5</v>
      </c>
      <c r="I9">
        <f t="shared" si="0"/>
        <v>18</v>
      </c>
    </row>
    <row r="10" spans="1:23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>
        <f>SUMIFS(Лист2!$C:$C, Лист2!$A:$A, $A10, Лист2!$B:$B, $B10)</f>
        <v>18</v>
      </c>
      <c r="F10" s="3">
        <f>SUMIFS(Лист2!$D:$D, Лист2!$A:$A, $A10, Лист2!$B:$B, $B10)</f>
        <v>1684</v>
      </c>
      <c r="G10" s="3">
        <f>SUMIFS(Лист2!$E:$E, Лист2!$A:$A, $A10, Лист2!$B:$B, $B10)</f>
        <v>1528</v>
      </c>
      <c r="H10">
        <f>IFERROR(Таблица1[[#This Row],[Товарооборот, руб]]/Таблица1[[#This Row],[Количество складов]],0)</f>
        <v>145748.91666666666</v>
      </c>
      <c r="I10">
        <f t="shared" si="0"/>
        <v>18</v>
      </c>
    </row>
    <row r="11" spans="1:23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>
        <f>SUMIFS(Лист2!$C:$C, Лист2!$A:$A, $A11, Лист2!$B:$B, $B11)</f>
        <v>18</v>
      </c>
      <c r="F11" s="3">
        <f>SUMIFS(Лист2!$D:$D, Лист2!$A:$A, $A11, Лист2!$B:$B, $B11)</f>
        <v>1708</v>
      </c>
      <c r="G11" s="3">
        <f>SUMIFS(Лист2!$E:$E, Лист2!$A:$A, $A11, Лист2!$B:$B, $B11)</f>
        <v>1534</v>
      </c>
      <c r="H11">
        <f>IFERROR(Таблица1[[#This Row],[Товарооборот, руб]]/Таблица1[[#This Row],[Количество складов]],0)</f>
        <v>150624.83333333334</v>
      </c>
      <c r="I11">
        <f t="shared" si="0"/>
        <v>19</v>
      </c>
    </row>
    <row r="12" spans="1:23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>
        <f>SUMIFS(Лист2!$C:$C, Лист2!$A:$A, $A12, Лист2!$B:$B, $B12)</f>
        <v>20</v>
      </c>
      <c r="F12" s="3">
        <f>SUMIFS(Лист2!$D:$D, Лист2!$A:$A, $A12, Лист2!$B:$B, $B12)</f>
        <v>2044</v>
      </c>
      <c r="G12" s="3">
        <f>SUMIFS(Лист2!$E:$E, Лист2!$A:$A, $A12, Лист2!$B:$B, $B12)</f>
        <v>1863</v>
      </c>
      <c r="H12">
        <f>IFERROR(Таблица1[[#This Row],[Товарооборот, руб]]/Таблица1[[#This Row],[Количество складов]],0)</f>
        <v>148516.5</v>
      </c>
      <c r="I12">
        <f t="shared" si="0"/>
        <v>22</v>
      </c>
    </row>
    <row r="13" spans="1:23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>
        <f>SUMIFS(Лист2!$C:$C, Лист2!$A:$A, $A13, Лист2!$B:$B, $B13)</f>
        <v>18</v>
      </c>
      <c r="F13" s="3">
        <f>SUMIFS(Лист2!$D:$D, Лист2!$A:$A, $A13, Лист2!$B:$B, $B13)</f>
        <v>1826</v>
      </c>
      <c r="G13" s="3">
        <f>SUMIFS(Лист2!$E:$E, Лист2!$A:$A, $A13, Лист2!$B:$B, $B13)</f>
        <v>1633</v>
      </c>
      <c r="H13">
        <f>IFERROR(Таблица1[[#This Row],[Товарооборот, руб]]/Таблица1[[#This Row],[Количество складов]],0)</f>
        <v>168403</v>
      </c>
      <c r="I13">
        <f t="shared" si="0"/>
        <v>18</v>
      </c>
    </row>
    <row r="14" spans="1:23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>
        <f>SUMIFS(Лист2!$C:$C, Лист2!$A:$A, $A14, Лист2!$B:$B, $B14)</f>
        <v>21</v>
      </c>
      <c r="F14" s="3">
        <f>SUMIFS(Лист2!$D:$D, Лист2!$A:$A, $A14, Лист2!$B:$B, $B14)</f>
        <v>1656</v>
      </c>
      <c r="G14" s="3">
        <f>SUMIFS(Лист2!$E:$E, Лист2!$A:$A, $A14, Лист2!$B:$B, $B14)</f>
        <v>1516</v>
      </c>
      <c r="H14">
        <f>IFERROR(Таблица1[[#This Row],[Товарооборот, руб]]/Таблица1[[#This Row],[Количество складов]],0)</f>
        <v>123608.5</v>
      </c>
      <c r="I14">
        <f t="shared" si="0"/>
        <v>20</v>
      </c>
    </row>
    <row r="15" spans="1:23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>
        <f>SUMIFS(Лист2!$C:$C, Лист2!$A:$A, $A15, Лист2!$B:$B, $B15)</f>
        <v>21</v>
      </c>
      <c r="F15" s="3">
        <f>SUMIFS(Лист2!$D:$D, Лист2!$A:$A, $A15, Лист2!$B:$B, $B15)</f>
        <v>1787</v>
      </c>
      <c r="G15" s="3">
        <f>SUMIFS(Лист2!$E:$E, Лист2!$A:$A, $A15, Лист2!$B:$B, $B15)</f>
        <v>1626</v>
      </c>
      <c r="H15">
        <f>IFERROR(Таблица1[[#This Row],[Товарооборот, руб]]/Таблица1[[#This Row],[Количество складов]],0)</f>
        <v>130684.85714285714</v>
      </c>
      <c r="I15">
        <f t="shared" si="0"/>
        <v>21</v>
      </c>
    </row>
    <row r="16" spans="1:23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>
        <f>SUMIFS(Лист2!$C:$C, Лист2!$A:$A, $A16, Лист2!$B:$B, $B16)</f>
        <v>21</v>
      </c>
      <c r="F16" s="3">
        <f>SUMIFS(Лист2!$D:$D, Лист2!$A:$A, $A16, Лист2!$B:$B, $B16)</f>
        <v>1921</v>
      </c>
      <c r="G16" s="3">
        <f>SUMIFS(Лист2!$E:$E, Лист2!$A:$A, $A16, Лист2!$B:$B, $B16)</f>
        <v>1767</v>
      </c>
      <c r="H16">
        <f>IFERROR(Таблица1[[#This Row],[Товарооборот, руб]]/Таблица1[[#This Row],[Количество складов]],0)</f>
        <v>139491.92857142858</v>
      </c>
      <c r="I16">
        <f t="shared" si="0"/>
        <v>21</v>
      </c>
    </row>
    <row r="17" spans="1:9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>
        <f>SUMIFS(Лист2!$C:$C, Лист2!$A:$A, $A17, Лист2!$B:$B, $B17)</f>
        <v>20</v>
      </c>
      <c r="F17" s="3">
        <f>SUMIFS(Лист2!$D:$D, Лист2!$A:$A, $A17, Лист2!$B:$B, $B17)</f>
        <v>1773</v>
      </c>
      <c r="G17" s="3">
        <f>SUMIFS(Лист2!$E:$E, Лист2!$A:$A, $A17, Лист2!$B:$B, $B17)</f>
        <v>1604</v>
      </c>
      <c r="H17">
        <f>IFERROR(Таблица1[[#This Row],[Товарооборот, руб]]/Таблица1[[#This Row],[Количество складов]],0)</f>
        <v>145338.15</v>
      </c>
      <c r="I17">
        <f t="shared" si="0"/>
        <v>19</v>
      </c>
    </row>
    <row r="18" spans="1:9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>
        <f>SUMIFS(Лист2!$C:$C, Лист2!$A:$A, $A18, Лист2!$B:$B, $B18)</f>
        <v>18</v>
      </c>
      <c r="F18" s="3">
        <f>SUMIFS(Лист2!$D:$D, Лист2!$A:$A, $A18, Лист2!$B:$B, $B18)</f>
        <v>1539</v>
      </c>
      <c r="G18" s="3">
        <f>SUMIFS(Лист2!$E:$E, Лист2!$A:$A, $A18, Лист2!$B:$B, $B18)</f>
        <v>1404</v>
      </c>
      <c r="H18">
        <f>IFERROR(Таблица1[[#This Row],[Товарооборот, руб]]/Таблица1[[#This Row],[Количество складов]],0)</f>
        <v>133977.08333333334</v>
      </c>
      <c r="I18">
        <f t="shared" si="0"/>
        <v>18</v>
      </c>
    </row>
    <row r="19" spans="1:9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>
        <f>SUMIFS(Лист2!$C:$C, Лист2!$A:$A, $A19, Лист2!$B:$B, $B19)</f>
        <v>21</v>
      </c>
      <c r="F19" s="3">
        <f>SUMIFS(Лист2!$D:$D, Лист2!$A:$A, $A19, Лист2!$B:$B, $B19)</f>
        <v>1698</v>
      </c>
      <c r="G19" s="3">
        <f>SUMIFS(Лист2!$E:$E, Лист2!$A:$A, $A19, Лист2!$B:$B, $B19)</f>
        <v>1554</v>
      </c>
      <c r="H19">
        <f>IFERROR(Таблица1[[#This Row],[Товарооборот, руб]]/Таблица1[[#This Row],[Количество складов]],0)</f>
        <v>125227.71428571429</v>
      </c>
      <c r="I19">
        <f t="shared" si="0"/>
        <v>20</v>
      </c>
    </row>
    <row r="20" spans="1:9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>
        <f>SUMIFS(Лист2!$C:$C, Лист2!$A:$A, $A20, Лист2!$B:$B, $B20)</f>
        <v>20</v>
      </c>
      <c r="F20" s="3">
        <f>SUMIFS(Лист2!$D:$D, Лист2!$A:$A, $A20, Лист2!$B:$B, $B20)</f>
        <v>1520</v>
      </c>
      <c r="G20" s="3">
        <f>SUMIFS(Лист2!$E:$E, Лист2!$A:$A, $A20, Лист2!$B:$B, $B20)</f>
        <v>1373</v>
      </c>
      <c r="H20">
        <f>IFERROR(Таблица1[[#This Row],[Товарооборот, руб]]/Таблица1[[#This Row],[Количество складов]],0)</f>
        <v>121745.7</v>
      </c>
      <c r="I20">
        <f t="shared" si="0"/>
        <v>19</v>
      </c>
    </row>
    <row r="21" spans="1:9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>
        <f>SUMIFS(Лист2!$C:$C, Лист2!$A:$A, $A21, Лист2!$B:$B, $B21)</f>
        <v>20</v>
      </c>
      <c r="F21" s="3">
        <f>SUMIFS(Лист2!$D:$D, Лист2!$A:$A, $A21, Лист2!$B:$B, $B21)</f>
        <v>1784</v>
      </c>
      <c r="G21" s="3">
        <f>SUMIFS(Лист2!$E:$E, Лист2!$A:$A, $A21, Лист2!$B:$B, $B21)</f>
        <v>1632</v>
      </c>
      <c r="H21">
        <f>IFERROR(Таблица1[[#This Row],[Товарооборот, руб]]/Таблица1[[#This Row],[Количество складов]],0)</f>
        <v>146931.15</v>
      </c>
      <c r="I21">
        <f t="shared" si="0"/>
        <v>19</v>
      </c>
    </row>
    <row r="22" spans="1:9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>
        <f>SUMIFS(Лист2!$C:$C, Лист2!$A:$A, $A22, Лист2!$B:$B, $B22)</f>
        <v>21</v>
      </c>
      <c r="F22" s="3">
        <f>SUMIFS(Лист2!$D:$D, Лист2!$A:$A, $A22, Лист2!$B:$B, $B22)</f>
        <v>2340</v>
      </c>
      <c r="G22" s="3">
        <f>SUMIFS(Лист2!$E:$E, Лист2!$A:$A, $A22, Лист2!$B:$B, $B22)</f>
        <v>2146</v>
      </c>
      <c r="H22">
        <f>IFERROR(Таблица1[[#This Row],[Товарооборот, руб]]/Таблица1[[#This Row],[Количество складов]],0)</f>
        <v>172796.5</v>
      </c>
      <c r="I22">
        <f t="shared" si="0"/>
        <v>22</v>
      </c>
    </row>
    <row r="23" spans="1:9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>
        <f>SUMIFS(Лист2!$C:$C, Лист2!$A:$A, $A23, Лист2!$B:$B, $B23)</f>
        <v>20</v>
      </c>
      <c r="F23" s="3">
        <f>SUMIFS(Лист2!$D:$D, Лист2!$A:$A, $A23, Лист2!$B:$B, $B23)</f>
        <v>2087</v>
      </c>
      <c r="G23" s="3">
        <f>SUMIFS(Лист2!$E:$E, Лист2!$A:$A, $A23, Лист2!$B:$B, $B23)</f>
        <v>1914</v>
      </c>
      <c r="H23">
        <f>IFERROR(Таблица1[[#This Row],[Товарооборот, руб]]/Таблица1[[#This Row],[Количество складов]],0)</f>
        <v>158829</v>
      </c>
      <c r="I23">
        <f t="shared" si="0"/>
        <v>21</v>
      </c>
    </row>
    <row r="24" spans="1:9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>
        <f>SUMIFS(Лист2!$C:$C, Лист2!$A:$A, $A24, Лист2!$B:$B, $B24)</f>
        <v>19</v>
      </c>
      <c r="F24" s="3">
        <f>SUMIFS(Лист2!$D:$D, Лист2!$A:$A, $A24, Лист2!$B:$B, $B24)</f>
        <v>1712</v>
      </c>
      <c r="G24" s="3">
        <f>SUMIFS(Лист2!$E:$E, Лист2!$A:$A, $A24, Лист2!$B:$B, $B24)</f>
        <v>1552</v>
      </c>
      <c r="H24">
        <f>IFERROR(Таблица1[[#This Row],[Товарооборот, руб]]/Таблица1[[#This Row],[Количество складов]],0)</f>
        <v>148273.5</v>
      </c>
      <c r="I24">
        <f t="shared" si="0"/>
        <v>18</v>
      </c>
    </row>
    <row r="25" spans="1:9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>
        <f>SUMIFS(Лист2!$C:$C, Лист2!$A:$A, $A25, Лист2!$B:$B, $B25)</f>
        <v>21</v>
      </c>
      <c r="F25" s="3">
        <f>SUMIFS(Лист2!$D:$D, Лист2!$A:$A, $A25, Лист2!$B:$B, $B25)</f>
        <v>2016</v>
      </c>
      <c r="G25" s="3">
        <f>SUMIFS(Лист2!$E:$E, Лист2!$A:$A, $A25, Лист2!$B:$B, $B25)</f>
        <v>1846</v>
      </c>
      <c r="H25">
        <f>IFERROR(Таблица1[[#This Row],[Товарооборот, руб]]/Таблица1[[#This Row],[Количество складов]],0)</f>
        <v>157760.35714285713</v>
      </c>
      <c r="I25">
        <f t="shared" si="0"/>
        <v>20</v>
      </c>
    </row>
    <row r="26" spans="1:9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>
        <f>SUMIFS(Лист2!$C:$C, Лист2!$A:$A, $A26, Лист2!$B:$B, $B26)</f>
        <v>21</v>
      </c>
      <c r="F26" s="3">
        <f>SUMIFS(Лист2!$D:$D, Лист2!$A:$A, $A26, Лист2!$B:$B, $B26)</f>
        <v>1646</v>
      </c>
      <c r="G26" s="3">
        <f>SUMIFS(Лист2!$E:$E, Лист2!$A:$A, $A26, Лист2!$B:$B, $B26)</f>
        <v>1492</v>
      </c>
      <c r="H26">
        <f>IFERROR(Таблица1[[#This Row],[Товарооборот, руб]]/Таблица1[[#This Row],[Количество складов]],0)</f>
        <v>125960</v>
      </c>
      <c r="I26">
        <f t="shared" si="0"/>
        <v>19</v>
      </c>
    </row>
    <row r="27" spans="1:9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>
        <f>SUMIFS(Лист2!$C:$C, Лист2!$A:$A, $A27, Лист2!$B:$B, $B27)</f>
        <v>21</v>
      </c>
      <c r="F27" s="3">
        <f>SUMIFS(Лист2!$D:$D, Лист2!$A:$A, $A27, Лист2!$B:$B, $B27)</f>
        <v>1542</v>
      </c>
      <c r="G27" s="3">
        <f>SUMIFS(Лист2!$E:$E, Лист2!$A:$A, $A27, Лист2!$B:$B, $B27)</f>
        <v>1405</v>
      </c>
      <c r="H27">
        <f>IFERROR(Таблица1[[#This Row],[Товарооборот, руб]]/Таблица1[[#This Row],[Количество складов]],0)</f>
        <v>117724.42857142857</v>
      </c>
      <c r="I27">
        <f t="shared" si="0"/>
        <v>19</v>
      </c>
    </row>
    <row r="28" spans="1:9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>
        <f>SUMIFS(Лист2!$C:$C, Лист2!$A:$A, $A28, Лист2!$B:$B, $B28)</f>
        <v>20</v>
      </c>
      <c r="F28" s="3">
        <f>SUMIFS(Лист2!$D:$D, Лист2!$A:$A, $A28, Лист2!$B:$B, $B28)</f>
        <v>1999</v>
      </c>
      <c r="G28" s="3">
        <f>SUMIFS(Лист2!$E:$E, Лист2!$A:$A, $A28, Лист2!$B:$B, $B28)</f>
        <v>1829</v>
      </c>
      <c r="H28">
        <f>IFERROR(Таблица1[[#This Row],[Товарооборот, руб]]/Таблица1[[#This Row],[Количество складов]],0)</f>
        <v>146237.32500000001</v>
      </c>
      <c r="I28">
        <f t="shared" si="0"/>
        <v>22</v>
      </c>
    </row>
    <row r="29" spans="1:9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>
        <f>SUMIFS(Лист2!$C:$C, Лист2!$A:$A, $A29, Лист2!$B:$B, $B29)</f>
        <v>21</v>
      </c>
      <c r="F29" s="3">
        <f>SUMIFS(Лист2!$D:$D, Лист2!$A:$A, $A29, Лист2!$B:$B, $B29)</f>
        <v>2271</v>
      </c>
      <c r="G29" s="3">
        <f>SUMIFS(Лист2!$E:$E, Лист2!$A:$A, $A29, Лист2!$B:$B, $B29)</f>
        <v>2085</v>
      </c>
      <c r="H29">
        <f>IFERROR(Таблица1[[#This Row],[Товарооборот, руб]]/Таблица1[[#This Row],[Количество складов]],0)</f>
        <v>165423.57142857142</v>
      </c>
      <c r="I29">
        <f t="shared" si="0"/>
        <v>23</v>
      </c>
    </row>
    <row r="30" spans="1:9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>
        <f>SUMIFS(Лист2!$C:$C, Лист2!$A:$A, $A30, Лист2!$B:$B, $B30)</f>
        <v>20</v>
      </c>
      <c r="F30" s="3">
        <f>SUMIFS(Лист2!$D:$D, Лист2!$A:$A, $A30, Лист2!$B:$B, $B30)</f>
        <v>2597</v>
      </c>
      <c r="G30" s="3">
        <f>SUMIFS(Лист2!$E:$E, Лист2!$A:$A, $A30, Лист2!$B:$B, $B30)</f>
        <v>2376</v>
      </c>
      <c r="H30">
        <f>IFERROR(Таблица1[[#This Row],[Товарооборот, руб]]/Таблица1[[#This Row],[Количество складов]],0)</f>
        <v>196089.22500000001</v>
      </c>
      <c r="I30">
        <f t="shared" si="0"/>
        <v>23</v>
      </c>
    </row>
    <row r="31" spans="1:9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>
        <f>SUMIFS(Лист2!$C:$C, Лист2!$A:$A, $A31, Лист2!$B:$B, $B31)</f>
        <v>20</v>
      </c>
      <c r="F31" s="3">
        <f>SUMIFS(Лист2!$D:$D, Лист2!$A:$A, $A31, Лист2!$B:$B, $B31)</f>
        <v>1886</v>
      </c>
      <c r="G31" s="3">
        <f>SUMIFS(Лист2!$E:$E, Лист2!$A:$A, $A31, Лист2!$B:$B, $B31)</f>
        <v>1736</v>
      </c>
      <c r="H31">
        <f>IFERROR(Таблица1[[#This Row],[Товарооборот, руб]]/Таблица1[[#This Row],[Количество складов]],0)</f>
        <v>141388.65</v>
      </c>
      <c r="I31">
        <f t="shared" si="0"/>
        <v>22</v>
      </c>
    </row>
    <row r="32" spans="1:9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>
        <f>SUMIFS(Лист2!$C:$C, Лист2!$A:$A, $A32, Лист2!$B:$B, $B32)</f>
        <v>31</v>
      </c>
      <c r="F32" s="3">
        <f>SUMIFS(Лист2!$D:$D, Лист2!$A:$A, $A32, Лист2!$B:$B, $B32)</f>
        <v>5593</v>
      </c>
      <c r="G32" s="3">
        <f>SUMIFS(Лист2!$E:$E, Лист2!$A:$A, $A32, Лист2!$B:$B, $B32)</f>
        <v>5177</v>
      </c>
      <c r="H32">
        <f>IFERROR(Таблица1[[#This Row],[Товарооборот, руб]]/Таблица1[[#This Row],[Количество складов]],0)</f>
        <v>244637.37096774194</v>
      </c>
      <c r="I32">
        <f t="shared" si="0"/>
        <v>21</v>
      </c>
    </row>
    <row r="33" spans="1:9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>
        <f>SUMIFS(Лист2!$C:$C, Лист2!$A:$A, $A33, Лист2!$B:$B, $B33)</f>
        <v>31</v>
      </c>
      <c r="F33" s="3">
        <f>SUMIFS(Лист2!$D:$D, Лист2!$A:$A, $A33, Лист2!$B:$B, $B33)</f>
        <v>5389</v>
      </c>
      <c r="G33" s="3">
        <f>SUMIFS(Лист2!$E:$E, Лист2!$A:$A, $A33, Лист2!$B:$B, $B33)</f>
        <v>5024</v>
      </c>
      <c r="H33">
        <f>IFERROR(Таблица1[[#This Row],[Товарооборот, руб]]/Таблица1[[#This Row],[Количество складов]],0)</f>
        <v>219855.19354838709</v>
      </c>
      <c r="I33">
        <f t="shared" si="0"/>
        <v>21</v>
      </c>
    </row>
    <row r="34" spans="1:9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>
        <f>SUMIFS(Лист2!$C:$C, Лист2!$A:$A, $A34, Лист2!$B:$B, $B34)</f>
        <v>31</v>
      </c>
      <c r="F34" s="3">
        <f>SUMIFS(Лист2!$D:$D, Лист2!$A:$A, $A34, Лист2!$B:$B, $B34)</f>
        <v>5206</v>
      </c>
      <c r="G34" s="3">
        <f>SUMIFS(Лист2!$E:$E, Лист2!$A:$A, $A34, Лист2!$B:$B, $B34)</f>
        <v>4843</v>
      </c>
      <c r="H34">
        <f>IFERROR(Таблица1[[#This Row],[Товарооборот, руб]]/Таблица1[[#This Row],[Количество складов]],0)</f>
        <v>218546.66129032258</v>
      </c>
      <c r="I34">
        <f t="shared" si="0"/>
        <v>21</v>
      </c>
    </row>
    <row r="35" spans="1:9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>
        <f>SUMIFS(Лист2!$C:$C, Лист2!$A:$A, $A35, Лист2!$B:$B, $B35)</f>
        <v>31</v>
      </c>
      <c r="F35" s="3">
        <f>SUMIFS(Лист2!$D:$D, Лист2!$A:$A, $A35, Лист2!$B:$B, $B35)</f>
        <v>4556</v>
      </c>
      <c r="G35" s="3">
        <f>SUMIFS(Лист2!$E:$E, Лист2!$A:$A, $A35, Лист2!$B:$B, $B35)</f>
        <v>4220</v>
      </c>
      <c r="H35">
        <f>IFERROR(Таблица1[[#This Row],[Товарооборот, руб]]/Таблица1[[#This Row],[Количество складов]],0)</f>
        <v>202094.61290322582</v>
      </c>
      <c r="I35">
        <f t="shared" si="0"/>
        <v>20</v>
      </c>
    </row>
    <row r="36" spans="1:9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>
        <f>SUMIFS(Лист2!$C:$C, Лист2!$A:$A, $A36, Лист2!$B:$B, $B36)</f>
        <v>31</v>
      </c>
      <c r="F36" s="3">
        <f>SUMIFS(Лист2!$D:$D, Лист2!$A:$A, $A36, Лист2!$B:$B, $B36)</f>
        <v>4968</v>
      </c>
      <c r="G36" s="3">
        <f>SUMIFS(Лист2!$E:$E, Лист2!$A:$A, $A36, Лист2!$B:$B, $B36)</f>
        <v>4596</v>
      </c>
      <c r="H36">
        <f>IFERROR(Таблица1[[#This Row],[Товарооборот, руб]]/Таблица1[[#This Row],[Количество складов]],0)</f>
        <v>214266.09677419355</v>
      </c>
      <c r="I36">
        <f t="shared" si="0"/>
        <v>18</v>
      </c>
    </row>
    <row r="37" spans="1:9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>
        <f>SUMIFS(Лист2!$C:$C, Лист2!$A:$A, $A37, Лист2!$B:$B, $B37)</f>
        <v>31</v>
      </c>
      <c r="F37" s="3">
        <f>SUMIFS(Лист2!$D:$D, Лист2!$A:$A, $A37, Лист2!$B:$B, $B37)</f>
        <v>5378</v>
      </c>
      <c r="G37" s="3">
        <f>SUMIFS(Лист2!$E:$E, Лист2!$A:$A, $A37, Лист2!$B:$B, $B37)</f>
        <v>4985</v>
      </c>
      <c r="H37">
        <f>IFERROR(Таблица1[[#This Row],[Товарооборот, руб]]/Таблица1[[#This Row],[Количество складов]],0)</f>
        <v>231628.98387096773</v>
      </c>
      <c r="I37">
        <f t="shared" si="0"/>
        <v>18</v>
      </c>
    </row>
    <row r="38" spans="1:9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>
        <f>SUMIFS(Лист2!$C:$C, Лист2!$A:$A, $A38, Лист2!$B:$B, $B38)</f>
        <v>31</v>
      </c>
      <c r="F38" s="3">
        <f>SUMIFS(Лист2!$D:$D, Лист2!$A:$A, $A38, Лист2!$B:$B, $B38)</f>
        <v>4157</v>
      </c>
      <c r="G38" s="3">
        <f>SUMIFS(Лист2!$E:$E, Лист2!$A:$A, $A38, Лист2!$B:$B, $B38)</f>
        <v>3823</v>
      </c>
      <c r="H38">
        <f>IFERROR(Таблица1[[#This Row],[Товарооборот, руб]]/Таблица1[[#This Row],[Количество складов]],0)</f>
        <v>179167.5</v>
      </c>
      <c r="I38">
        <f t="shared" si="0"/>
        <v>19</v>
      </c>
    </row>
    <row r="39" spans="1:9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>
        <f>SUMIFS(Лист2!$C:$C, Лист2!$A:$A, $A39, Лист2!$B:$B, $B39)</f>
        <v>31</v>
      </c>
      <c r="F39" s="3">
        <f>SUMIFS(Лист2!$D:$D, Лист2!$A:$A, $A39, Лист2!$B:$B, $B39)</f>
        <v>5493</v>
      </c>
      <c r="G39" s="3">
        <f>SUMIFS(Лист2!$E:$E, Лист2!$A:$A, $A39, Лист2!$B:$B, $B39)</f>
        <v>5119</v>
      </c>
      <c r="H39">
        <f>IFERROR(Таблица1[[#This Row],[Товарооборот, руб]]/Таблица1[[#This Row],[Количество складов]],0)</f>
        <v>215369.66129032258</v>
      </c>
      <c r="I39">
        <f t="shared" si="0"/>
        <v>22</v>
      </c>
    </row>
    <row r="40" spans="1:9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>
        <f>SUMIFS(Лист2!$C:$C, Лист2!$A:$A, $A40, Лист2!$B:$B, $B40)</f>
        <v>31</v>
      </c>
      <c r="F40" s="3">
        <f>SUMIFS(Лист2!$D:$D, Лист2!$A:$A, $A40, Лист2!$B:$B, $B40)</f>
        <v>6118</v>
      </c>
      <c r="G40" s="3">
        <f>SUMIFS(Лист2!$E:$E, Лист2!$A:$A, $A40, Лист2!$B:$B, $B40)</f>
        <v>5564</v>
      </c>
      <c r="H40">
        <f>IFERROR(Таблица1[[#This Row],[Товарооборот, руб]]/Таблица1[[#This Row],[Количество складов]],0)</f>
        <v>286871.75806451612</v>
      </c>
      <c r="I40">
        <f t="shared" si="0"/>
        <v>18</v>
      </c>
    </row>
    <row r="41" spans="1:9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>
        <f>SUMIFS(Лист2!$C:$C, Лист2!$A:$A, $A41, Лист2!$B:$B, $B41)</f>
        <v>31</v>
      </c>
      <c r="F41" s="3">
        <f>SUMIFS(Лист2!$D:$D, Лист2!$A:$A, $A41, Лист2!$B:$B, $B41)</f>
        <v>4800</v>
      </c>
      <c r="G41" s="3">
        <f>SUMIFS(Лист2!$E:$E, Лист2!$A:$A, $A41, Лист2!$B:$B, $B41)</f>
        <v>4470</v>
      </c>
      <c r="H41">
        <f>IFERROR(Таблица1[[#This Row],[Товарооборот, руб]]/Таблица1[[#This Row],[Количество складов]],0)</f>
        <v>206398.74193548388</v>
      </c>
      <c r="I41">
        <f t="shared" si="0"/>
        <v>20</v>
      </c>
    </row>
    <row r="42" spans="1:9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>
        <f>SUMIFS(Лист2!$C:$C, Лист2!$A:$A, $A42, Лист2!$B:$B, $B42)</f>
        <v>31</v>
      </c>
      <c r="F42" s="3">
        <f>SUMIFS(Лист2!$D:$D, Лист2!$A:$A, $A42, Лист2!$B:$B, $B42)</f>
        <v>5207</v>
      </c>
      <c r="G42" s="3">
        <f>SUMIFS(Лист2!$E:$E, Лист2!$A:$A, $A42, Лист2!$B:$B, $B42)</f>
        <v>4868</v>
      </c>
      <c r="H42">
        <f>IFERROR(Таблица1[[#This Row],[Товарооборот, руб]]/Таблица1[[#This Row],[Количество складов]],0)</f>
        <v>213995.0806451613</v>
      </c>
      <c r="I42">
        <f t="shared" si="0"/>
        <v>21</v>
      </c>
    </row>
    <row r="43" spans="1:9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>
        <f>SUMIFS(Лист2!$C:$C, Лист2!$A:$A, $A43, Лист2!$B:$B, $B43)</f>
        <v>31</v>
      </c>
      <c r="F43" s="3">
        <f>SUMIFS(Лист2!$D:$D, Лист2!$A:$A, $A43, Лист2!$B:$B, $B43)</f>
        <v>5698</v>
      </c>
      <c r="G43" s="3">
        <f>SUMIFS(Лист2!$E:$E, Лист2!$A:$A, $A43, Лист2!$B:$B, $B43)</f>
        <v>5258</v>
      </c>
      <c r="H43">
        <f>IFERROR(Таблица1[[#This Row],[Товарооборот, руб]]/Таблица1[[#This Row],[Количество складов]],0)</f>
        <v>233792.75806451612</v>
      </c>
      <c r="I43">
        <f t="shared" si="0"/>
        <v>21</v>
      </c>
    </row>
    <row r="44" spans="1:9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>
        <f>SUMIFS(Лист2!$C:$C, Лист2!$A:$A, $A44, Лист2!$B:$B, $B44)</f>
        <v>31</v>
      </c>
      <c r="F44" s="3">
        <f>SUMIFS(Лист2!$D:$D, Лист2!$A:$A, $A44, Лист2!$B:$B, $B44)</f>
        <v>5188</v>
      </c>
      <c r="G44" s="3">
        <f>SUMIFS(Лист2!$E:$E, Лист2!$A:$A, $A44, Лист2!$B:$B, $B44)</f>
        <v>4800</v>
      </c>
      <c r="H44">
        <f>IFERROR(Таблица1[[#This Row],[Товарооборот, руб]]/Таблица1[[#This Row],[Количество складов]],0)</f>
        <v>223268.27419354839</v>
      </c>
      <c r="I44">
        <f t="shared" si="0"/>
        <v>19</v>
      </c>
    </row>
    <row r="45" spans="1:9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>
        <f>SUMIFS(Лист2!$C:$C, Лист2!$A:$A, $A45, Лист2!$B:$B, $B45)</f>
        <v>31</v>
      </c>
      <c r="F45" s="3">
        <f>SUMIFS(Лист2!$D:$D, Лист2!$A:$A, $A45, Лист2!$B:$B, $B45)</f>
        <v>5465</v>
      </c>
      <c r="G45" s="3">
        <f>SUMIFS(Лист2!$E:$E, Лист2!$A:$A, $A45, Лист2!$B:$B, $B45)</f>
        <v>5096</v>
      </c>
      <c r="H45">
        <f>IFERROR(Таблица1[[#This Row],[Товарооборот, руб]]/Таблица1[[#This Row],[Количество складов]],0)</f>
        <v>231085.30645161291</v>
      </c>
      <c r="I45">
        <f t="shared" si="0"/>
        <v>18</v>
      </c>
    </row>
    <row r="46" spans="1:9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>
        <f>SUMIFS(Лист2!$C:$C, Лист2!$A:$A, $A46, Лист2!$B:$B, $B46)</f>
        <v>31</v>
      </c>
      <c r="F46" s="3">
        <f>SUMIFS(Лист2!$D:$D, Лист2!$A:$A, $A46, Лист2!$B:$B, $B46)</f>
        <v>5251</v>
      </c>
      <c r="G46" s="3">
        <f>SUMIFS(Лист2!$E:$E, Лист2!$A:$A, $A46, Лист2!$B:$B, $B46)</f>
        <v>4853</v>
      </c>
      <c r="H46">
        <f>IFERROR(Таблица1[[#This Row],[Товарооборот, руб]]/Таблица1[[#This Row],[Количество складов]],0)</f>
        <v>225611.37096774194</v>
      </c>
      <c r="I46">
        <f t="shared" si="0"/>
        <v>20</v>
      </c>
    </row>
    <row r="47" spans="1:9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>
        <f>SUMIFS(Лист2!$C:$C, Лист2!$A:$A, $A47, Лист2!$B:$B, $B47)</f>
        <v>31</v>
      </c>
      <c r="F47" s="3">
        <f>SUMIFS(Лист2!$D:$D, Лист2!$A:$A, $A47, Лист2!$B:$B, $B47)</f>
        <v>5155</v>
      </c>
      <c r="G47" s="3">
        <f>SUMIFS(Лист2!$E:$E, Лист2!$A:$A, $A47, Лист2!$B:$B, $B47)</f>
        <v>4762</v>
      </c>
      <c r="H47">
        <f>IFERROR(Таблица1[[#This Row],[Товарооборот, руб]]/Таблица1[[#This Row],[Количество складов]],0)</f>
        <v>226247.4193548387</v>
      </c>
      <c r="I47">
        <f t="shared" si="0"/>
        <v>19</v>
      </c>
    </row>
    <row r="48" spans="1:9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>
        <f>SUMIFS(Лист2!$C:$C, Лист2!$A:$A, $A48, Лист2!$B:$B, $B48)</f>
        <v>31</v>
      </c>
      <c r="F48" s="3">
        <f>SUMIFS(Лист2!$D:$D, Лист2!$A:$A, $A48, Лист2!$B:$B, $B48)</f>
        <v>4709</v>
      </c>
      <c r="G48" s="3">
        <f>SUMIFS(Лист2!$E:$E, Лист2!$A:$A, $A48, Лист2!$B:$B, $B48)</f>
        <v>4348</v>
      </c>
      <c r="H48">
        <f>IFERROR(Таблица1[[#This Row],[Товарооборот, руб]]/Таблица1[[#This Row],[Количество складов]],0)</f>
        <v>198988.93548387097</v>
      </c>
      <c r="I48">
        <f t="shared" si="0"/>
        <v>19</v>
      </c>
    </row>
    <row r="49" spans="1:9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>
        <f>SUMIFS(Лист2!$C:$C, Лист2!$A:$A, $A49, Лист2!$B:$B, $B49)</f>
        <v>31</v>
      </c>
      <c r="F49" s="3">
        <f>SUMIFS(Лист2!$D:$D, Лист2!$A:$A, $A49, Лист2!$B:$B, $B49)</f>
        <v>6276</v>
      </c>
      <c r="G49" s="3">
        <f>SUMIFS(Лист2!$E:$E, Лист2!$A:$A, $A49, Лист2!$B:$B, $B49)</f>
        <v>5801</v>
      </c>
      <c r="H49">
        <f>IFERROR(Таблица1[[#This Row],[Товарооборот, руб]]/Таблица1[[#This Row],[Количество складов]],0)</f>
        <v>260940.09677419355</v>
      </c>
      <c r="I49">
        <f t="shared" si="0"/>
        <v>22</v>
      </c>
    </row>
    <row r="50" spans="1:9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>
        <f>SUMIFS(Лист2!$C:$C, Лист2!$A:$A, $A50, Лист2!$B:$B, $B50)</f>
        <v>31</v>
      </c>
      <c r="F50" s="3">
        <f>SUMIFS(Лист2!$D:$D, Лист2!$A:$A, $A50, Лист2!$B:$B, $B50)</f>
        <v>5210</v>
      </c>
      <c r="G50" s="3">
        <f>SUMIFS(Лист2!$E:$E, Лист2!$A:$A, $A50, Лист2!$B:$B, $B50)</f>
        <v>4841</v>
      </c>
      <c r="H50">
        <f>IFERROR(Таблица1[[#This Row],[Товарооборот, руб]]/Таблица1[[#This Row],[Количество складов]],0)</f>
        <v>214374.29032258064</v>
      </c>
      <c r="I50">
        <f t="shared" si="0"/>
        <v>21</v>
      </c>
    </row>
    <row r="51" spans="1:9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>
        <f>SUMIFS(Лист2!$C:$C, Лист2!$A:$A, $A51, Лист2!$B:$B, $B51)</f>
        <v>31</v>
      </c>
      <c r="F51" s="3">
        <f>SUMIFS(Лист2!$D:$D, Лист2!$A:$A, $A51, Лист2!$B:$B, $B51)</f>
        <v>5120</v>
      </c>
      <c r="G51" s="3">
        <f>SUMIFS(Лист2!$E:$E, Лист2!$A:$A, $A51, Лист2!$B:$B, $B51)</f>
        <v>4737</v>
      </c>
      <c r="H51">
        <f>IFERROR(Таблица1[[#This Row],[Товарооборот, руб]]/Таблица1[[#This Row],[Количество складов]],0)</f>
        <v>226571.85483870967</v>
      </c>
      <c r="I51">
        <f t="shared" si="0"/>
        <v>18</v>
      </c>
    </row>
    <row r="52" spans="1:9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>
        <f>SUMIFS(Лист2!$C:$C, Лист2!$A:$A, $A52, Лист2!$B:$B, $B52)</f>
        <v>31</v>
      </c>
      <c r="F52" s="3">
        <f>SUMIFS(Лист2!$D:$D, Лист2!$A:$A, $A52, Лист2!$B:$B, $B52)</f>
        <v>5495</v>
      </c>
      <c r="G52" s="3">
        <f>SUMIFS(Лист2!$E:$E, Лист2!$A:$A, $A52, Лист2!$B:$B, $B52)</f>
        <v>5093</v>
      </c>
      <c r="H52">
        <f>IFERROR(Таблица1[[#This Row],[Товарооборот, руб]]/Таблица1[[#This Row],[Количество складов]],0)</f>
        <v>241393.35483870967</v>
      </c>
      <c r="I52">
        <f t="shared" si="0"/>
        <v>20</v>
      </c>
    </row>
    <row r="53" spans="1:9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>
        <f>SUMIFS(Лист2!$C:$C, Лист2!$A:$A, $A53, Лист2!$B:$B, $B53)</f>
        <v>31</v>
      </c>
      <c r="F53" s="3">
        <f>SUMIFS(Лист2!$D:$D, Лист2!$A:$A, $A53, Лист2!$B:$B, $B53)</f>
        <v>4635</v>
      </c>
      <c r="G53" s="3">
        <f>SUMIFS(Лист2!$E:$E, Лист2!$A:$A, $A53, Лист2!$B:$B, $B53)</f>
        <v>4266</v>
      </c>
      <c r="H53">
        <f>IFERROR(Таблица1[[#This Row],[Товарооборот, руб]]/Таблица1[[#This Row],[Количество складов]],0)</f>
        <v>203025.04838709679</v>
      </c>
      <c r="I53">
        <f t="shared" si="0"/>
        <v>19</v>
      </c>
    </row>
    <row r="54" spans="1:9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>
        <f>SUMIFS(Лист2!$C:$C, Лист2!$A:$A, $A54, Лист2!$B:$B, $B54)</f>
        <v>31</v>
      </c>
      <c r="F54" s="3">
        <f>SUMIFS(Лист2!$D:$D, Лист2!$A:$A, $A54, Лист2!$B:$B, $B54)</f>
        <v>4903</v>
      </c>
      <c r="G54" s="3">
        <f>SUMIFS(Лист2!$E:$E, Лист2!$A:$A, $A54, Лист2!$B:$B, $B54)</f>
        <v>4527</v>
      </c>
      <c r="H54">
        <f>IFERROR(Таблица1[[#This Row],[Товарооборот, руб]]/Таблица1[[#This Row],[Количество складов]],0)</f>
        <v>212641.40322580645</v>
      </c>
      <c r="I54">
        <f t="shared" si="0"/>
        <v>19</v>
      </c>
    </row>
    <row r="55" spans="1:9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>
        <f>SUMIFS(Лист2!$C:$C, Лист2!$A:$A, $A55, Лист2!$B:$B, $B55)</f>
        <v>31</v>
      </c>
      <c r="F55" s="3">
        <f>SUMIFS(Лист2!$D:$D, Лист2!$A:$A, $A55, Лист2!$B:$B, $B55)</f>
        <v>5035</v>
      </c>
      <c r="G55" s="3">
        <f>SUMIFS(Лист2!$E:$E, Лист2!$A:$A, $A55, Лист2!$B:$B, $B55)</f>
        <v>4683</v>
      </c>
      <c r="H55">
        <f>IFERROR(Таблица1[[#This Row],[Товарооборот, руб]]/Таблица1[[#This Row],[Количество складов]],0)</f>
        <v>208097.80645161291</v>
      </c>
      <c r="I55">
        <f t="shared" si="0"/>
        <v>22</v>
      </c>
    </row>
    <row r="56" spans="1:9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>
        <f>SUMIFS(Лист2!$C:$C, Лист2!$A:$A, $A56, Лист2!$B:$B, $B56)</f>
        <v>10</v>
      </c>
      <c r="F56" s="3">
        <f>SUMIFS(Лист2!$D:$D, Лист2!$A:$A, $A56, Лист2!$B:$B, $B56)</f>
        <v>760</v>
      </c>
      <c r="G56" s="3">
        <f>SUMIFS(Лист2!$E:$E, Лист2!$A:$A, $A56, Лист2!$B:$B, $B56)</f>
        <v>672</v>
      </c>
      <c r="H56">
        <f>IFERROR(Таблица1[[#This Row],[Товарооборот, руб]]/Таблица1[[#This Row],[Количество складов]],0)</f>
        <v>113050.65</v>
      </c>
      <c r="I56">
        <f t="shared" si="0"/>
        <v>21</v>
      </c>
    </row>
    <row r="57" spans="1:9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>
        <f>SUMIFS(Лист2!$C:$C, Лист2!$A:$A, $A57, Лист2!$B:$B, $B57)</f>
        <v>10</v>
      </c>
      <c r="F57" s="3">
        <f>SUMIFS(Лист2!$D:$D, Лист2!$A:$A, $A57, Лист2!$B:$B, $B57)</f>
        <v>649</v>
      </c>
      <c r="G57" s="3">
        <f>SUMIFS(Лист2!$E:$E, Лист2!$A:$A, $A57, Лист2!$B:$B, $B57)</f>
        <v>568</v>
      </c>
      <c r="H57">
        <f>IFERROR(Таблица1[[#This Row],[Товарооборот, руб]]/Таблица1[[#This Row],[Количество складов]],0)</f>
        <v>93876.45</v>
      </c>
      <c r="I57">
        <f t="shared" si="0"/>
        <v>21</v>
      </c>
    </row>
    <row r="58" spans="1:9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>
        <f>SUMIFS(Лист2!$C:$C, Лист2!$A:$A, $A58, Лист2!$B:$B, $B58)</f>
        <v>10</v>
      </c>
      <c r="F58" s="3">
        <f>SUMIFS(Лист2!$D:$D, Лист2!$A:$A, $A58, Лист2!$B:$B, $B58)</f>
        <v>591</v>
      </c>
      <c r="G58" s="3">
        <f>SUMIFS(Лист2!$E:$E, Лист2!$A:$A, $A58, Лист2!$B:$B, $B58)</f>
        <v>513</v>
      </c>
      <c r="H58">
        <f>IFERROR(Таблица1[[#This Row],[Товарооборот, руб]]/Таблица1[[#This Row],[Количество складов]],0)</f>
        <v>84372.75</v>
      </c>
      <c r="I58">
        <f t="shared" si="0"/>
        <v>21</v>
      </c>
    </row>
    <row r="59" spans="1:9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>
        <f>SUMIFS(Лист2!$C:$C, Лист2!$A:$A, $A59, Лист2!$B:$B, $B59)</f>
        <v>10</v>
      </c>
      <c r="F59" s="3">
        <f>SUMIFS(Лист2!$D:$D, Лист2!$A:$A, $A59, Лист2!$B:$B, $B59)</f>
        <v>644</v>
      </c>
      <c r="G59" s="3">
        <f>SUMIFS(Лист2!$E:$E, Лист2!$A:$A, $A59, Лист2!$B:$B, $B59)</f>
        <v>559</v>
      </c>
      <c r="H59">
        <f>IFERROR(Таблица1[[#This Row],[Товарооборот, руб]]/Таблица1[[#This Row],[Количество складов]],0)</f>
        <v>104640</v>
      </c>
      <c r="I59">
        <f t="shared" si="0"/>
        <v>20</v>
      </c>
    </row>
    <row r="60" spans="1:9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>
        <f>SUMIFS(Лист2!$C:$C, Лист2!$A:$A, $A60, Лист2!$B:$B, $B60)</f>
        <v>10</v>
      </c>
      <c r="F60" s="3">
        <f>SUMIFS(Лист2!$D:$D, Лист2!$A:$A, $A60, Лист2!$B:$B, $B60)</f>
        <v>462</v>
      </c>
      <c r="G60" s="3">
        <f>SUMIFS(Лист2!$E:$E, Лист2!$A:$A, $A60, Лист2!$B:$B, $B60)</f>
        <v>396</v>
      </c>
      <c r="H60">
        <f>IFERROR(Таблица1[[#This Row],[Товарооборот, руб]]/Таблица1[[#This Row],[Количество складов]],0)</f>
        <v>72889.05</v>
      </c>
      <c r="I60">
        <f t="shared" si="0"/>
        <v>18</v>
      </c>
    </row>
    <row r="61" spans="1:9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>
        <f>SUMIFS(Лист2!$C:$C, Лист2!$A:$A, $A61, Лист2!$B:$B, $B61)</f>
        <v>10</v>
      </c>
      <c r="F61" s="3">
        <f>SUMIFS(Лист2!$D:$D, Лист2!$A:$A, $A61, Лист2!$B:$B, $B61)</f>
        <v>502</v>
      </c>
      <c r="G61" s="3">
        <f>SUMIFS(Лист2!$E:$E, Лист2!$A:$A, $A61, Лист2!$B:$B, $B61)</f>
        <v>433</v>
      </c>
      <c r="H61">
        <f>IFERROR(Таблица1[[#This Row],[Товарооборот, руб]]/Таблица1[[#This Row],[Количество складов]],0)</f>
        <v>79791.899999999994</v>
      </c>
      <c r="I61">
        <f t="shared" si="0"/>
        <v>18</v>
      </c>
    </row>
    <row r="62" spans="1:9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>
        <f>SUMIFS(Лист2!$C:$C, Лист2!$A:$A, $A62, Лист2!$B:$B, $B62)</f>
        <v>10</v>
      </c>
      <c r="F62" s="3">
        <f>SUMIFS(Лист2!$D:$D, Лист2!$A:$A, $A62, Лист2!$B:$B, $B62)</f>
        <v>416</v>
      </c>
      <c r="G62" s="3">
        <f>SUMIFS(Лист2!$E:$E, Лист2!$A:$A, $A62, Лист2!$B:$B, $B62)</f>
        <v>341</v>
      </c>
      <c r="H62">
        <f>IFERROR(Таблица1[[#This Row],[Товарооборот, руб]]/Таблица1[[#This Row],[Количество складов]],0)</f>
        <v>61788.15</v>
      </c>
      <c r="I62">
        <f t="shared" si="0"/>
        <v>19</v>
      </c>
    </row>
    <row r="63" spans="1:9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>
        <f>SUMIFS(Лист2!$C:$C, Лист2!$A:$A, $A63, Лист2!$B:$B, $B63)</f>
        <v>10</v>
      </c>
      <c r="F63" s="3">
        <f>SUMIFS(Лист2!$D:$D, Лист2!$A:$A, $A63, Лист2!$B:$B, $B63)</f>
        <v>692</v>
      </c>
      <c r="G63" s="3">
        <f>SUMIFS(Лист2!$E:$E, Лист2!$A:$A, $A63, Лист2!$B:$B, $B63)</f>
        <v>601</v>
      </c>
      <c r="H63">
        <f>IFERROR(Таблица1[[#This Row],[Товарооборот, руб]]/Таблица1[[#This Row],[Количество складов]],0)</f>
        <v>98310.9</v>
      </c>
      <c r="I63">
        <f t="shared" si="0"/>
        <v>22</v>
      </c>
    </row>
    <row r="64" spans="1:9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>
        <f>SUMIFS(Лист2!$C:$C, Лист2!$A:$A, $A64, Лист2!$B:$B, $B64)</f>
        <v>10</v>
      </c>
      <c r="F64" s="3">
        <f>SUMIFS(Лист2!$D:$D, Лист2!$A:$A, $A64, Лист2!$B:$B, $B64)</f>
        <v>554</v>
      </c>
      <c r="G64" s="3">
        <f>SUMIFS(Лист2!$E:$E, Лист2!$A:$A, $A64, Лист2!$B:$B, $B64)</f>
        <v>472</v>
      </c>
      <c r="H64">
        <f>IFERROR(Таблица1[[#This Row],[Товарооборот, руб]]/Таблица1[[#This Row],[Количество складов]],0)</f>
        <v>89113.95</v>
      </c>
      <c r="I64">
        <f t="shared" si="0"/>
        <v>18</v>
      </c>
    </row>
    <row r="65" spans="1:9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>
        <f>SUMIFS(Лист2!$C:$C, Лист2!$A:$A, $A65, Лист2!$B:$B, $B65)</f>
        <v>10</v>
      </c>
      <c r="F65" s="3">
        <f>SUMIFS(Лист2!$D:$D, Лист2!$A:$A, $A65, Лист2!$B:$B, $B65)</f>
        <v>526</v>
      </c>
      <c r="G65" s="3">
        <f>SUMIFS(Лист2!$E:$E, Лист2!$A:$A, $A65, Лист2!$B:$B, $B65)</f>
        <v>448</v>
      </c>
      <c r="H65">
        <f>IFERROR(Таблица1[[#This Row],[Товарооборот, руб]]/Таблица1[[#This Row],[Количество складов]],0)</f>
        <v>73296.45</v>
      </c>
      <c r="I65">
        <f t="shared" si="0"/>
        <v>20</v>
      </c>
    </row>
    <row r="66" spans="1:9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>
        <f>SUMIFS(Лист2!$C:$C, Лист2!$A:$A, $A66, Лист2!$B:$B, $B66)</f>
        <v>10</v>
      </c>
      <c r="F66" s="3">
        <f>SUMIFS(Лист2!$D:$D, Лист2!$A:$A, $A66, Лист2!$B:$B, $B66)</f>
        <v>677</v>
      </c>
      <c r="G66" s="3">
        <f>SUMIFS(Лист2!$E:$E, Лист2!$A:$A, $A66, Лист2!$B:$B, $B66)</f>
        <v>591</v>
      </c>
      <c r="H66">
        <f>IFERROR(Таблица1[[#This Row],[Товарооборот, руб]]/Таблица1[[#This Row],[Количество складов]],0)</f>
        <v>93552.3</v>
      </c>
      <c r="I66">
        <f t="shared" ref="I66:I129" si="1">INT((A66-DATE(YEAR(A66),1,1)+WEEKDAY(A66,2)+6)/7)</f>
        <v>21</v>
      </c>
    </row>
    <row r="67" spans="1:9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>
        <f>SUMIFS(Лист2!$C:$C, Лист2!$A:$A, $A67, Лист2!$B:$B, $B67)</f>
        <v>10</v>
      </c>
      <c r="F67" s="3">
        <f>SUMIFS(Лист2!$D:$D, Лист2!$A:$A, $A67, Лист2!$B:$B, $B67)</f>
        <v>745</v>
      </c>
      <c r="G67" s="3">
        <f>SUMIFS(Лист2!$E:$E, Лист2!$A:$A, $A67, Лист2!$B:$B, $B67)</f>
        <v>654</v>
      </c>
      <c r="H67">
        <f>IFERROR(Таблица1[[#This Row],[Товарооборот, руб]]/Таблица1[[#This Row],[Количество складов]],0)</f>
        <v>103724.7</v>
      </c>
      <c r="I67">
        <f t="shared" si="1"/>
        <v>21</v>
      </c>
    </row>
    <row r="68" spans="1:9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>
        <f>SUMIFS(Лист2!$C:$C, Лист2!$A:$A, $A68, Лист2!$B:$B, $B68)</f>
        <v>10</v>
      </c>
      <c r="F68" s="3">
        <f>SUMIFS(Лист2!$D:$D, Лист2!$A:$A, $A68, Лист2!$B:$B, $B68)</f>
        <v>511</v>
      </c>
      <c r="G68" s="3">
        <f>SUMIFS(Лист2!$E:$E, Лист2!$A:$A, $A68, Лист2!$B:$B, $B68)</f>
        <v>437</v>
      </c>
      <c r="H68">
        <f>IFERROR(Таблица1[[#This Row],[Товарооборот, руб]]/Таблица1[[#This Row],[Количество складов]],0)</f>
        <v>79332</v>
      </c>
      <c r="I68">
        <f t="shared" si="1"/>
        <v>19</v>
      </c>
    </row>
    <row r="69" spans="1:9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>
        <f>SUMIFS(Лист2!$C:$C, Лист2!$A:$A, $A69, Лист2!$B:$B, $B69)</f>
        <v>10</v>
      </c>
      <c r="F69" s="3">
        <f>SUMIFS(Лист2!$D:$D, Лист2!$A:$A, $A69, Лист2!$B:$B, $B69)</f>
        <v>580</v>
      </c>
      <c r="G69" s="3">
        <f>SUMIFS(Лист2!$E:$E, Лист2!$A:$A, $A69, Лист2!$B:$B, $B69)</f>
        <v>506</v>
      </c>
      <c r="H69">
        <f>IFERROR(Таблица1[[#This Row],[Товарооборот, руб]]/Таблица1[[#This Row],[Количество складов]],0)</f>
        <v>86998.35</v>
      </c>
      <c r="I69">
        <f t="shared" si="1"/>
        <v>18</v>
      </c>
    </row>
    <row r="70" spans="1:9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>
        <f>SUMIFS(Лист2!$C:$C, Лист2!$A:$A, $A70, Лист2!$B:$B, $B70)</f>
        <v>10</v>
      </c>
      <c r="F70" s="3">
        <f>SUMIFS(Лист2!$D:$D, Лист2!$A:$A, $A70, Лист2!$B:$B, $B70)</f>
        <v>612</v>
      </c>
      <c r="G70" s="3">
        <f>SUMIFS(Лист2!$E:$E, Лист2!$A:$A, $A70, Лист2!$B:$B, $B70)</f>
        <v>530</v>
      </c>
      <c r="H70">
        <f>IFERROR(Таблица1[[#This Row],[Товарооборот, руб]]/Таблица1[[#This Row],[Количество складов]],0)</f>
        <v>86571.45</v>
      </c>
      <c r="I70">
        <f t="shared" si="1"/>
        <v>20</v>
      </c>
    </row>
    <row r="71" spans="1:9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>
        <f>SUMIFS(Лист2!$C:$C, Лист2!$A:$A, $A71, Лист2!$B:$B, $B71)</f>
        <v>31</v>
      </c>
      <c r="F71" s="3">
        <f>SUMIFS(Лист2!$D:$D, Лист2!$A:$A, $A71, Лист2!$B:$B, $B71)</f>
        <v>5760</v>
      </c>
      <c r="G71" s="3">
        <f>SUMIFS(Лист2!$E:$E, Лист2!$A:$A, $A71, Лист2!$B:$B, $B71)</f>
        <v>5367</v>
      </c>
      <c r="H71">
        <f>IFERROR(Таблица1[[#This Row],[Товарооборот, руб]]/Таблица1[[#This Row],[Количество складов]],0)</f>
        <v>242343.43548387097</v>
      </c>
      <c r="I71">
        <f t="shared" si="1"/>
        <v>23</v>
      </c>
    </row>
    <row r="72" spans="1:9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>
        <f>SUMIFS(Лист2!$C:$C, Лист2!$A:$A, $A72, Лист2!$B:$B, $B72)</f>
        <v>10</v>
      </c>
      <c r="F72" s="3">
        <f>SUMIFS(Лист2!$D:$D, Лист2!$A:$A, $A72, Лист2!$B:$B, $B72)</f>
        <v>402</v>
      </c>
      <c r="G72" s="3">
        <f>SUMIFS(Лист2!$E:$E, Лист2!$A:$A, $A72, Лист2!$B:$B, $B72)</f>
        <v>333</v>
      </c>
      <c r="H72">
        <f>IFERROR(Таблица1[[#This Row],[Товарооборот, руб]]/Таблица1[[#This Row],[Количество складов]],0)</f>
        <v>63788.1</v>
      </c>
      <c r="I72">
        <f t="shared" si="1"/>
        <v>19</v>
      </c>
    </row>
    <row r="73" spans="1:9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>
        <f>SUMIFS(Лист2!$C:$C, Лист2!$A:$A, $A73, Лист2!$B:$B, $B73)</f>
        <v>31</v>
      </c>
      <c r="F73" s="3">
        <f>SUMIFS(Лист2!$D:$D, Лист2!$A:$A, $A73, Лист2!$B:$B, $B73)</f>
        <v>6735</v>
      </c>
      <c r="G73" s="3">
        <f>SUMIFS(Лист2!$E:$E, Лист2!$A:$A, $A73, Лист2!$B:$B, $B73)</f>
        <v>6264</v>
      </c>
      <c r="H73">
        <f>IFERROR(Таблица1[[#This Row],[Товарооборот, руб]]/Таблица1[[#This Row],[Количество складов]],0)</f>
        <v>295635.72580645164</v>
      </c>
      <c r="I73">
        <f t="shared" si="1"/>
        <v>23</v>
      </c>
    </row>
    <row r="74" spans="1:9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>
        <f>SUMIFS(Лист2!$C:$C, Лист2!$A:$A, $A74, Лист2!$B:$B, $B74)</f>
        <v>10</v>
      </c>
      <c r="F74" s="3">
        <f>SUMIFS(Лист2!$D:$D, Лист2!$A:$A, $A74, Лист2!$B:$B, $B74)</f>
        <v>465</v>
      </c>
      <c r="G74" s="3">
        <f>SUMIFS(Лист2!$E:$E, Лист2!$A:$A, $A74, Лист2!$B:$B, $B74)</f>
        <v>390</v>
      </c>
      <c r="H74">
        <f>IFERROR(Таблица1[[#This Row],[Товарооборот, руб]]/Таблица1[[#This Row],[Количество складов]],0)</f>
        <v>69683.25</v>
      </c>
      <c r="I74">
        <f t="shared" si="1"/>
        <v>19</v>
      </c>
    </row>
    <row r="75" spans="1:9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>
        <f>SUMIFS(Лист2!$C:$C, Лист2!$A:$A, $A75, Лист2!$B:$B, $B75)</f>
        <v>10</v>
      </c>
      <c r="F75" s="3">
        <f>SUMIFS(Лист2!$D:$D, Лист2!$A:$A, $A75, Лист2!$B:$B, $B75)</f>
        <v>828</v>
      </c>
      <c r="G75" s="3">
        <f>SUMIFS(Лист2!$E:$E, Лист2!$A:$A, $A75, Лист2!$B:$B, $B75)</f>
        <v>734</v>
      </c>
      <c r="H75">
        <f>IFERROR(Таблица1[[#This Row],[Товарооборот, руб]]/Таблица1[[#This Row],[Количество складов]],0)</f>
        <v>124138.35</v>
      </c>
      <c r="I75">
        <f t="shared" si="1"/>
        <v>22</v>
      </c>
    </row>
    <row r="76" spans="1:9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>
        <f>SUMIFS(Лист2!$C:$C, Лист2!$A:$A, $A76, Лист2!$B:$B, $B76)</f>
        <v>31</v>
      </c>
      <c r="F76" s="3">
        <f>SUMIFS(Лист2!$D:$D, Лист2!$A:$A, $A76, Лист2!$B:$B, $B76)</f>
        <v>5355</v>
      </c>
      <c r="G76" s="3">
        <f>SUMIFS(Лист2!$E:$E, Лист2!$A:$A, $A76, Лист2!$B:$B, $B76)</f>
        <v>4969</v>
      </c>
      <c r="H76">
        <f>IFERROR(Таблица1[[#This Row],[Товарооборот, руб]]/Таблица1[[#This Row],[Количество складов]],0)</f>
        <v>214244.17741935485</v>
      </c>
      <c r="I76">
        <f t="shared" si="1"/>
        <v>22</v>
      </c>
    </row>
    <row r="77" spans="1:9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>
        <f>SUMIFS(Лист2!$C:$C, Лист2!$A:$A, $A77, Лист2!$B:$B, $B77)</f>
        <v>10</v>
      </c>
      <c r="F77" s="3">
        <f>SUMIFS(Лист2!$D:$D, Лист2!$A:$A, $A77, Лист2!$B:$B, $B77)</f>
        <v>739</v>
      </c>
      <c r="G77" s="3">
        <f>SUMIFS(Лист2!$E:$E, Лист2!$A:$A, $A77, Лист2!$B:$B, $B77)</f>
        <v>642</v>
      </c>
      <c r="H77">
        <f>IFERROR(Таблица1[[#This Row],[Товарооборот, руб]]/Таблица1[[#This Row],[Количество складов]],0)</f>
        <v>103044</v>
      </c>
      <c r="I77">
        <f t="shared" si="1"/>
        <v>21</v>
      </c>
    </row>
    <row r="78" spans="1:9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>
        <f>SUMIFS(Лист2!$C:$C, Лист2!$A:$A, $A78, Лист2!$B:$B, $B78)</f>
        <v>10</v>
      </c>
      <c r="F78" s="3">
        <f>SUMIFS(Лист2!$D:$D, Лист2!$A:$A, $A78, Лист2!$B:$B, $B78)</f>
        <v>448</v>
      </c>
      <c r="G78" s="3">
        <f>SUMIFS(Лист2!$E:$E, Лист2!$A:$A, $A78, Лист2!$B:$B, $B78)</f>
        <v>376</v>
      </c>
      <c r="H78">
        <f>IFERROR(Таблица1[[#This Row],[Товарооборот, руб]]/Таблица1[[#This Row],[Количество складов]],0)</f>
        <v>71619.600000000006</v>
      </c>
      <c r="I78">
        <f t="shared" si="1"/>
        <v>18</v>
      </c>
    </row>
    <row r="79" spans="1:9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>
        <f>SUMIFS(Лист2!$C:$C, Лист2!$A:$A, $A79, Лист2!$B:$B, $B79)</f>
        <v>10</v>
      </c>
      <c r="F79" s="3">
        <f>SUMIFS(Лист2!$D:$D, Лист2!$A:$A, $A79, Лист2!$B:$B, $B79)</f>
        <v>642</v>
      </c>
      <c r="G79" s="3">
        <f>SUMIFS(Лист2!$E:$E, Лист2!$A:$A, $A79, Лист2!$B:$B, $B79)</f>
        <v>556</v>
      </c>
      <c r="H79">
        <f>IFERROR(Таблица1[[#This Row],[Товарооборот, руб]]/Таблица1[[#This Row],[Количество складов]],0)</f>
        <v>100478.85</v>
      </c>
      <c r="I79">
        <f t="shared" si="1"/>
        <v>20</v>
      </c>
    </row>
    <row r="80" spans="1:9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>
        <f>SUMIFS(Лист2!$C:$C, Лист2!$A:$A, $A80, Лист2!$B:$B, $B80)</f>
        <v>10</v>
      </c>
      <c r="F80" s="3">
        <f>SUMIFS(Лист2!$D:$D, Лист2!$A:$A, $A80, Лист2!$B:$B, $B80)</f>
        <v>638</v>
      </c>
      <c r="G80" s="3">
        <f>SUMIFS(Лист2!$E:$E, Лист2!$A:$A, $A80, Лист2!$B:$B, $B80)</f>
        <v>547</v>
      </c>
      <c r="H80">
        <f>IFERROR(Таблица1[[#This Row],[Товарооборот, руб]]/Таблица1[[#This Row],[Количество складов]],0)</f>
        <v>95970.3</v>
      </c>
      <c r="I80">
        <f t="shared" si="1"/>
        <v>19</v>
      </c>
    </row>
    <row r="81" spans="1:9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>
        <f>SUMIFS(Лист2!$C:$C, Лист2!$A:$A, $A81, Лист2!$B:$B, $B81)</f>
        <v>10</v>
      </c>
      <c r="F81" s="3">
        <f>SUMIFS(Лист2!$D:$D, Лист2!$A:$A, $A81, Лист2!$B:$B, $B81)</f>
        <v>563</v>
      </c>
      <c r="G81" s="3">
        <f>SUMIFS(Лист2!$E:$E, Лист2!$A:$A, $A81, Лист2!$B:$B, $B81)</f>
        <v>486</v>
      </c>
      <c r="H81">
        <f>IFERROR(Таблица1[[#This Row],[Товарооборот, руб]]/Таблица1[[#This Row],[Количество складов]],0)</f>
        <v>86375.4</v>
      </c>
      <c r="I81">
        <f t="shared" si="1"/>
        <v>19</v>
      </c>
    </row>
    <row r="82" spans="1:9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>
        <f>SUMIFS(Лист2!$C:$C, Лист2!$A:$A, $A82, Лист2!$B:$B, $B82)</f>
        <v>10</v>
      </c>
      <c r="F82" s="3">
        <f>SUMIFS(Лист2!$D:$D, Лист2!$A:$A, $A82, Лист2!$B:$B, $B82)</f>
        <v>639</v>
      </c>
      <c r="G82" s="3">
        <f>SUMIFS(Лист2!$E:$E, Лист2!$A:$A, $A82, Лист2!$B:$B, $B82)</f>
        <v>557</v>
      </c>
      <c r="H82">
        <f>IFERROR(Таблица1[[#This Row],[Товарооборот, руб]]/Таблица1[[#This Row],[Количество складов]],0)</f>
        <v>82898.399999999994</v>
      </c>
      <c r="I82">
        <f t="shared" si="1"/>
        <v>22</v>
      </c>
    </row>
    <row r="83" spans="1:9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>
        <f>SUMIFS(Лист2!$C:$C, Лист2!$A:$A, $A83, Лист2!$B:$B, $B83)</f>
        <v>10</v>
      </c>
      <c r="F83" s="3">
        <f>SUMIFS(Лист2!$D:$D, Лист2!$A:$A, $A83, Лист2!$B:$B, $B83)</f>
        <v>749</v>
      </c>
      <c r="G83" s="3">
        <f>SUMIFS(Лист2!$E:$E, Лист2!$A:$A, $A83, Лист2!$B:$B, $B83)</f>
        <v>655</v>
      </c>
      <c r="H83">
        <f>IFERROR(Таблица1[[#This Row],[Товарооборот, руб]]/Таблица1[[#This Row],[Количество складов]],0)</f>
        <v>104551.5</v>
      </c>
      <c r="I83">
        <f t="shared" si="1"/>
        <v>23</v>
      </c>
    </row>
    <row r="84" spans="1:9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>
        <f>SUMIFS(Лист2!$C:$C, Лист2!$A:$A, $A84, Лист2!$B:$B, $B84)</f>
        <v>10</v>
      </c>
      <c r="F84" s="3">
        <f>SUMIFS(Лист2!$D:$D, Лист2!$A:$A, $A84, Лист2!$B:$B, $B84)</f>
        <v>865</v>
      </c>
      <c r="G84" s="3">
        <f>SUMIFS(Лист2!$E:$E, Лист2!$A:$A, $A84, Лист2!$B:$B, $B84)</f>
        <v>763</v>
      </c>
      <c r="H84">
        <f>IFERROR(Таблица1[[#This Row],[Товарооборот, руб]]/Таблица1[[#This Row],[Количество складов]],0)</f>
        <v>126048.3</v>
      </c>
      <c r="I84">
        <f t="shared" si="1"/>
        <v>23</v>
      </c>
    </row>
    <row r="85" spans="1:9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>
        <f>SUMIFS(Лист2!$C:$C, Лист2!$A:$A, $A85, Лист2!$B:$B, $B85)</f>
        <v>10</v>
      </c>
      <c r="F85" s="3">
        <f>SUMIFS(Лист2!$D:$D, Лист2!$A:$A, $A85, Лист2!$B:$B, $B85)</f>
        <v>791</v>
      </c>
      <c r="G85" s="3">
        <f>SUMIFS(Лист2!$E:$E, Лист2!$A:$A, $A85, Лист2!$B:$B, $B85)</f>
        <v>697</v>
      </c>
      <c r="H85">
        <f>IFERROR(Таблица1[[#This Row],[Товарооборот, руб]]/Таблица1[[#This Row],[Количество складов]],0)</f>
        <v>111455.25</v>
      </c>
      <c r="I85">
        <f t="shared" si="1"/>
        <v>22</v>
      </c>
    </row>
    <row r="86" spans="1:9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>
        <f>SUMIFS(Лист2!$C:$C, Лист2!$A:$A, $A86, Лист2!$B:$B, $B86)</f>
        <v>19</v>
      </c>
      <c r="F86" s="3">
        <f>SUMIFS(Лист2!$D:$D, Лист2!$A:$A, $A86, Лист2!$B:$B, $B86)</f>
        <v>2080</v>
      </c>
      <c r="G86" s="3">
        <f>SUMIFS(Лист2!$E:$E, Лист2!$A:$A, $A86, Лист2!$B:$B, $B86)</f>
        <v>1844</v>
      </c>
      <c r="H86">
        <f>IFERROR(Таблица1[[#This Row],[Товарооборот, руб]]/Таблица1[[#This Row],[Количество складов]],0)</f>
        <v>169606.18421052632</v>
      </c>
      <c r="I86">
        <f t="shared" si="1"/>
        <v>21</v>
      </c>
    </row>
    <row r="87" spans="1:9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>
        <f>SUMIFS(Лист2!$C:$C, Лист2!$A:$A, $A87, Лист2!$B:$B, $B87)</f>
        <v>19</v>
      </c>
      <c r="F87" s="3">
        <f>SUMIFS(Лист2!$D:$D, Лист2!$A:$A, $A87, Лист2!$B:$B, $B87)</f>
        <v>1999</v>
      </c>
      <c r="G87" s="3">
        <f>SUMIFS(Лист2!$E:$E, Лист2!$A:$A, $A87, Лист2!$B:$B, $B87)</f>
        <v>1799</v>
      </c>
      <c r="H87">
        <f>IFERROR(Таблица1[[#This Row],[Товарооборот, руб]]/Таблица1[[#This Row],[Количество складов]],0)</f>
        <v>150807.23684210525</v>
      </c>
      <c r="I87">
        <f t="shared" si="1"/>
        <v>21</v>
      </c>
    </row>
    <row r="88" spans="1:9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>
        <f>SUMIFS(Лист2!$C:$C, Лист2!$A:$A, $A88, Лист2!$B:$B, $B88)</f>
        <v>19</v>
      </c>
      <c r="F88" s="3">
        <f>SUMIFS(Лист2!$D:$D, Лист2!$A:$A, $A88, Лист2!$B:$B, $B88)</f>
        <v>1871</v>
      </c>
      <c r="G88" s="3">
        <f>SUMIFS(Лист2!$E:$E, Лист2!$A:$A, $A88, Лист2!$B:$B, $B88)</f>
        <v>1660</v>
      </c>
      <c r="H88">
        <f>IFERROR(Таблица1[[#This Row],[Товарооборот, руб]]/Таблица1[[#This Row],[Количество складов]],0)</f>
        <v>141804.71052631579</v>
      </c>
      <c r="I88">
        <f t="shared" si="1"/>
        <v>21</v>
      </c>
    </row>
    <row r="89" spans="1:9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>
        <f>SUMIFS(Лист2!$C:$C, Лист2!$A:$A, $A89, Лист2!$B:$B, $B89)</f>
        <v>19</v>
      </c>
      <c r="F89" s="3">
        <f>SUMIFS(Лист2!$D:$D, Лист2!$A:$A, $A89, Лист2!$B:$B, $B89)</f>
        <v>1851</v>
      </c>
      <c r="G89" s="3">
        <f>SUMIFS(Лист2!$E:$E, Лист2!$A:$A, $A89, Лист2!$B:$B, $B89)</f>
        <v>1635</v>
      </c>
      <c r="H89">
        <f>IFERROR(Таблица1[[#This Row],[Товарооборот, руб]]/Таблица1[[#This Row],[Количество складов]],0)</f>
        <v>152745.63157894736</v>
      </c>
      <c r="I89">
        <f t="shared" si="1"/>
        <v>20</v>
      </c>
    </row>
    <row r="90" spans="1:9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>
        <f>SUMIFS(Лист2!$C:$C, Лист2!$A:$A, $A90, Лист2!$B:$B, $B90)</f>
        <v>19</v>
      </c>
      <c r="F90" s="3">
        <f>SUMIFS(Лист2!$D:$D, Лист2!$A:$A, $A90, Лист2!$B:$B, $B90)</f>
        <v>1582</v>
      </c>
      <c r="G90" s="3">
        <f>SUMIFS(Лист2!$E:$E, Лист2!$A:$A, $A90, Лист2!$B:$B, $B90)</f>
        <v>1403</v>
      </c>
      <c r="H90">
        <f>IFERROR(Таблица1[[#This Row],[Товарооборот, руб]]/Таблица1[[#This Row],[Количество складов]],0)</f>
        <v>128998.34210526316</v>
      </c>
      <c r="I90">
        <f t="shared" si="1"/>
        <v>18</v>
      </c>
    </row>
    <row r="91" spans="1:9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>
        <f>SUMIFS(Лист2!$C:$C, Лист2!$A:$A, $A91, Лист2!$B:$B, $B91)</f>
        <v>18</v>
      </c>
      <c r="F91" s="3">
        <f>SUMIFS(Лист2!$D:$D, Лист2!$A:$A, $A91, Лист2!$B:$B, $B91)</f>
        <v>1534</v>
      </c>
      <c r="G91" s="3">
        <f>SUMIFS(Лист2!$E:$E, Лист2!$A:$A, $A91, Лист2!$B:$B, $B91)</f>
        <v>1369</v>
      </c>
      <c r="H91">
        <f>IFERROR(Таблица1[[#This Row],[Товарооборот, руб]]/Таблица1[[#This Row],[Количество складов]],0)</f>
        <v>133199.33333333334</v>
      </c>
      <c r="I91">
        <f t="shared" si="1"/>
        <v>18</v>
      </c>
    </row>
    <row r="92" spans="1:9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>
        <f>SUMIFS(Лист2!$C:$C, Лист2!$A:$A, $A92, Лист2!$B:$B, $B92)</f>
        <v>19</v>
      </c>
      <c r="F92" s="3">
        <f>SUMIFS(Лист2!$D:$D, Лист2!$A:$A, $A92, Лист2!$B:$B, $B92)</f>
        <v>1217</v>
      </c>
      <c r="G92" s="3">
        <f>SUMIFS(Лист2!$E:$E, Лист2!$A:$A, $A92, Лист2!$B:$B, $B92)</f>
        <v>1048</v>
      </c>
      <c r="H92">
        <f>IFERROR(Таблица1[[#This Row],[Товарооборот, руб]]/Таблица1[[#This Row],[Количество складов]],0)</f>
        <v>94696.34210526316</v>
      </c>
      <c r="I92">
        <f t="shared" si="1"/>
        <v>19</v>
      </c>
    </row>
    <row r="93" spans="1:9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>
        <f>SUMIFS(Лист2!$C:$C, Лист2!$A:$A, $A93, Лист2!$B:$B, $B93)</f>
        <v>20</v>
      </c>
      <c r="F93" s="3">
        <f>SUMIFS(Лист2!$D:$D, Лист2!$A:$A, $A93, Лист2!$B:$B, $B93)</f>
        <v>2036</v>
      </c>
      <c r="G93" s="3">
        <f>SUMIFS(Лист2!$E:$E, Лист2!$A:$A, $A93, Лист2!$B:$B, $B93)</f>
        <v>1790</v>
      </c>
      <c r="H93">
        <f>IFERROR(Таблица1[[#This Row],[Товарооборот, руб]]/Таблица1[[#This Row],[Количество складов]],0)</f>
        <v>145370.54999999999</v>
      </c>
      <c r="I93">
        <f t="shared" si="1"/>
        <v>22</v>
      </c>
    </row>
    <row r="94" spans="1:9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>
        <f>SUMIFS(Лист2!$C:$C, Лист2!$A:$A, $A94, Лист2!$B:$B, $B94)</f>
        <v>19</v>
      </c>
      <c r="F94" s="3">
        <f>SUMIFS(Лист2!$D:$D, Лист2!$A:$A, $A94, Лист2!$B:$B, $B94)</f>
        <v>1497</v>
      </c>
      <c r="G94" s="3">
        <f>SUMIFS(Лист2!$E:$E, Лист2!$A:$A, $A94, Лист2!$B:$B, $B94)</f>
        <v>1291</v>
      </c>
      <c r="H94">
        <f>IFERROR(Таблица1[[#This Row],[Товарооборот, руб]]/Таблица1[[#This Row],[Количество складов]],0)</f>
        <v>124966.10526315789</v>
      </c>
      <c r="I94">
        <f t="shared" si="1"/>
        <v>18</v>
      </c>
    </row>
    <row r="95" spans="1:9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>
        <f>SUMIFS(Лист2!$C:$C, Лист2!$A:$A, $A95, Лист2!$B:$B, $B95)</f>
        <v>19</v>
      </c>
      <c r="F95" s="3">
        <f>SUMIFS(Лист2!$D:$D, Лист2!$A:$A, $A95, Лист2!$B:$B, $B95)</f>
        <v>1649</v>
      </c>
      <c r="G95" s="3">
        <f>SUMIFS(Лист2!$E:$E, Лист2!$A:$A, $A95, Лист2!$B:$B, $B95)</f>
        <v>1460</v>
      </c>
      <c r="H95">
        <f>IFERROR(Таблица1[[#This Row],[Товарооборот, руб]]/Таблица1[[#This Row],[Количество складов]],0)</f>
        <v>124759.57894736843</v>
      </c>
      <c r="I95">
        <f t="shared" si="1"/>
        <v>20</v>
      </c>
    </row>
    <row r="96" spans="1:9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>
        <f>SUMIFS(Лист2!$C:$C, Лист2!$A:$A, $A96, Лист2!$B:$B, $B96)</f>
        <v>19</v>
      </c>
      <c r="F96" s="3">
        <f>SUMIFS(Лист2!$D:$D, Лист2!$A:$A, $A96, Лист2!$B:$B, $B96)</f>
        <v>1949</v>
      </c>
      <c r="G96" s="3">
        <f>SUMIFS(Лист2!$E:$E, Лист2!$A:$A, $A96, Лист2!$B:$B, $B96)</f>
        <v>1724</v>
      </c>
      <c r="H96">
        <f>IFERROR(Таблица1[[#This Row],[Товарооборот, руб]]/Таблица1[[#This Row],[Количество складов]],0)</f>
        <v>150167.44736842104</v>
      </c>
      <c r="I96">
        <f t="shared" si="1"/>
        <v>21</v>
      </c>
    </row>
    <row r="97" spans="1:9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>
        <f>SUMIFS(Лист2!$C:$C, Лист2!$A:$A, $A97, Лист2!$B:$B, $B97)</f>
        <v>19</v>
      </c>
      <c r="F97" s="3">
        <f>SUMIFS(Лист2!$D:$D, Лист2!$A:$A, $A97, Лист2!$B:$B, $B97)</f>
        <v>1889</v>
      </c>
      <c r="G97" s="3">
        <f>SUMIFS(Лист2!$E:$E, Лист2!$A:$A, $A97, Лист2!$B:$B, $B97)</f>
        <v>1690</v>
      </c>
      <c r="H97">
        <f>IFERROR(Таблица1[[#This Row],[Товарооборот, руб]]/Таблица1[[#This Row],[Количество складов]],0)</f>
        <v>141696.31578947368</v>
      </c>
      <c r="I97">
        <f t="shared" si="1"/>
        <v>21</v>
      </c>
    </row>
    <row r="98" spans="1:9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>
        <f>SUMIFS(Лист2!$C:$C, Лист2!$A:$A, $A98, Лист2!$B:$B, $B98)</f>
        <v>19</v>
      </c>
      <c r="F98" s="3">
        <f>SUMIFS(Лист2!$D:$D, Лист2!$A:$A, $A98, Лист2!$B:$B, $B98)</f>
        <v>1417</v>
      </c>
      <c r="G98" s="3">
        <f>SUMIFS(Лист2!$E:$E, Лист2!$A:$A, $A98, Лист2!$B:$B, $B98)</f>
        <v>1245</v>
      </c>
      <c r="H98">
        <f>IFERROR(Таблица1[[#This Row],[Товарооборот, руб]]/Таблица1[[#This Row],[Количество складов]],0)</f>
        <v>109468.42105263157</v>
      </c>
      <c r="I98">
        <f t="shared" si="1"/>
        <v>19</v>
      </c>
    </row>
    <row r="99" spans="1:9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>
        <f>SUMIFS(Лист2!$C:$C, Лист2!$A:$A, $A99, Лист2!$B:$B, $B99)</f>
        <v>17</v>
      </c>
      <c r="F99" s="3">
        <f>SUMIFS(Лист2!$D:$D, Лист2!$A:$A, $A99, Лист2!$B:$B, $B99)</f>
        <v>1439</v>
      </c>
      <c r="G99" s="3">
        <f>SUMIFS(Лист2!$E:$E, Лист2!$A:$A, $A99, Лист2!$B:$B, $B99)</f>
        <v>1265</v>
      </c>
      <c r="H99">
        <f>IFERROR(Таблица1[[#This Row],[Товарооборот, руб]]/Таблица1[[#This Row],[Количество складов]],0)</f>
        <v>125695.14705882352</v>
      </c>
      <c r="I99">
        <f t="shared" si="1"/>
        <v>18</v>
      </c>
    </row>
    <row r="100" spans="1:9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>
        <f>SUMIFS(Лист2!$C:$C, Лист2!$A:$A, $A100, Лист2!$B:$B, $B100)</f>
        <v>19</v>
      </c>
      <c r="F100" s="3">
        <f>SUMIFS(Лист2!$D:$D, Лист2!$A:$A, $A100, Лист2!$B:$B, $B100)</f>
        <v>1625</v>
      </c>
      <c r="G100" s="3">
        <f>SUMIFS(Лист2!$E:$E, Лист2!$A:$A, $A100, Лист2!$B:$B, $B100)</f>
        <v>1444</v>
      </c>
      <c r="H100">
        <f>IFERROR(Таблица1[[#This Row],[Товарооборот, руб]]/Таблица1[[#This Row],[Количество складов]],0)</f>
        <v>124912.5</v>
      </c>
      <c r="I100">
        <f t="shared" si="1"/>
        <v>20</v>
      </c>
    </row>
    <row r="101" spans="1:9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>
        <f>SUMIFS(Лист2!$C:$C, Лист2!$A:$A, $A101, Лист2!$B:$B, $B101)</f>
        <v>19</v>
      </c>
      <c r="F101" s="3">
        <f>SUMIFS(Лист2!$D:$D, Лист2!$A:$A, $A101, Лист2!$B:$B, $B101)</f>
        <v>1402</v>
      </c>
      <c r="G101" s="3">
        <f>SUMIFS(Лист2!$E:$E, Лист2!$A:$A, $A101, Лист2!$B:$B, $B101)</f>
        <v>1234</v>
      </c>
      <c r="H101">
        <f>IFERROR(Таблица1[[#This Row],[Товарооборот, руб]]/Таблица1[[#This Row],[Количество складов]],0)</f>
        <v>114226.81578947368</v>
      </c>
      <c r="I101">
        <f t="shared" si="1"/>
        <v>19</v>
      </c>
    </row>
    <row r="102" spans="1:9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>
        <f>SUMIFS(Лист2!$C:$C, Лист2!$A:$A, $A102, Лист2!$B:$B, $B102)</f>
        <v>19</v>
      </c>
      <c r="F102" s="3">
        <f>SUMIFS(Лист2!$D:$D, Лист2!$A:$A, $A102, Лист2!$B:$B, $B102)</f>
        <v>1499</v>
      </c>
      <c r="G102" s="3">
        <f>SUMIFS(Лист2!$E:$E, Лист2!$A:$A, $A102, Лист2!$B:$B, $B102)</f>
        <v>1323</v>
      </c>
      <c r="H102">
        <f>IFERROR(Таблица1[[#This Row],[Товарооборот, руб]]/Таблица1[[#This Row],[Количество складов]],0)</f>
        <v>117501</v>
      </c>
      <c r="I102">
        <f t="shared" si="1"/>
        <v>19</v>
      </c>
    </row>
    <row r="103" spans="1:9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>
        <f>SUMIFS(Лист2!$C:$C, Лист2!$A:$A, $A103, Лист2!$B:$B, $B103)</f>
        <v>20</v>
      </c>
      <c r="F103" s="3">
        <f>SUMIFS(Лист2!$D:$D, Лист2!$A:$A, $A103, Лист2!$B:$B, $B103)</f>
        <v>2266</v>
      </c>
      <c r="G103" s="3">
        <f>SUMIFS(Лист2!$E:$E, Лист2!$A:$A, $A103, Лист2!$B:$B, $B103)</f>
        <v>1993</v>
      </c>
      <c r="H103">
        <f>IFERROR(Таблица1[[#This Row],[Товарооборот, руб]]/Таблица1[[#This Row],[Количество складов]],0)</f>
        <v>169268.625</v>
      </c>
      <c r="I103">
        <f t="shared" si="1"/>
        <v>22</v>
      </c>
    </row>
    <row r="104" spans="1:9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>
        <f>SUMIFS(Лист2!$C:$C, Лист2!$A:$A, $A104, Лист2!$B:$B, $B104)</f>
        <v>20</v>
      </c>
      <c r="F104" s="3">
        <f>SUMIFS(Лист2!$D:$D, Лист2!$A:$A, $A104, Лист2!$B:$B, $B104)</f>
        <v>2011</v>
      </c>
      <c r="G104" s="3">
        <f>SUMIFS(Лист2!$E:$E, Лист2!$A:$A, $A104, Лист2!$B:$B, $B104)</f>
        <v>1791</v>
      </c>
      <c r="H104">
        <f>IFERROR(Таблица1[[#This Row],[Товарооборот, руб]]/Таблица1[[#This Row],[Количество складов]],0)</f>
        <v>143286.375</v>
      </c>
      <c r="I104">
        <f t="shared" si="1"/>
        <v>21</v>
      </c>
    </row>
    <row r="105" spans="1:9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>
        <f>SUMIFS(Лист2!$C:$C, Лист2!$A:$A, $A105, Лист2!$B:$B, $B105)</f>
        <v>19</v>
      </c>
      <c r="F105" s="3">
        <f>SUMIFS(Лист2!$D:$D, Лист2!$A:$A, $A105, Лист2!$B:$B, $B105)</f>
        <v>1499</v>
      </c>
      <c r="G105" s="3">
        <f>SUMIFS(Лист2!$E:$E, Лист2!$A:$A, $A105, Лист2!$B:$B, $B105)</f>
        <v>1322</v>
      </c>
      <c r="H105">
        <f>IFERROR(Таблица1[[#This Row],[Товарооборот, руб]]/Таблица1[[#This Row],[Количество складов]],0)</f>
        <v>119350.73684210527</v>
      </c>
      <c r="I105">
        <f t="shared" si="1"/>
        <v>18</v>
      </c>
    </row>
    <row r="106" spans="1:9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>
        <f>SUMIFS(Лист2!$C:$C, Лист2!$A:$A, $A106, Лист2!$B:$B, $B106)</f>
        <v>19</v>
      </c>
      <c r="F106" s="3">
        <f>SUMIFS(Лист2!$D:$D, Лист2!$A:$A, $A106, Лист2!$B:$B, $B106)</f>
        <v>1848</v>
      </c>
      <c r="G106" s="3">
        <f>SUMIFS(Лист2!$E:$E, Лист2!$A:$A, $A106, Лист2!$B:$B, $B106)</f>
        <v>1649</v>
      </c>
      <c r="H106">
        <f>IFERROR(Таблица1[[#This Row],[Товарооборот, руб]]/Таблица1[[#This Row],[Количество складов]],0)</f>
        <v>150647.28947368421</v>
      </c>
      <c r="I106">
        <f t="shared" si="1"/>
        <v>20</v>
      </c>
    </row>
    <row r="107" spans="1:9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>
        <f>SUMIFS(Лист2!$C:$C, Лист2!$A:$A, $A107, Лист2!$B:$B, $B107)</f>
        <v>19</v>
      </c>
      <c r="F107" s="3">
        <f>SUMIFS(Лист2!$D:$D, Лист2!$A:$A, $A107, Лист2!$B:$B, $B107)</f>
        <v>1522</v>
      </c>
      <c r="G107" s="3">
        <f>SUMIFS(Лист2!$E:$E, Лист2!$A:$A, $A107, Лист2!$B:$B, $B107)</f>
        <v>1340</v>
      </c>
      <c r="H107">
        <f>IFERROR(Таблица1[[#This Row],[Товарооборот, руб]]/Таблица1[[#This Row],[Количество складов]],0)</f>
        <v>119550.23684210527</v>
      </c>
      <c r="I107">
        <f t="shared" si="1"/>
        <v>19</v>
      </c>
    </row>
    <row r="108" spans="1:9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>
        <f>SUMIFS(Лист2!$C:$C, Лист2!$A:$A, $A108, Лист2!$B:$B, $B108)</f>
        <v>19</v>
      </c>
      <c r="F108" s="3">
        <f>SUMIFS(Лист2!$D:$D, Лист2!$A:$A, $A108, Лист2!$B:$B, $B108)</f>
        <v>1530</v>
      </c>
      <c r="G108" s="3">
        <f>SUMIFS(Лист2!$E:$E, Лист2!$A:$A, $A108, Лист2!$B:$B, $B108)</f>
        <v>1338</v>
      </c>
      <c r="H108">
        <f>IFERROR(Таблица1[[#This Row],[Товарооборот, руб]]/Таблица1[[#This Row],[Количество складов]],0)</f>
        <v>123719.60526315789</v>
      </c>
      <c r="I108">
        <f t="shared" si="1"/>
        <v>19</v>
      </c>
    </row>
    <row r="109" spans="1:9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>
        <f>SUMIFS(Лист2!$C:$C, Лист2!$A:$A, $A109, Лист2!$B:$B, $B109)</f>
        <v>20</v>
      </c>
      <c r="F109" s="3">
        <f>SUMIFS(Лист2!$D:$D, Лист2!$A:$A, $A109, Лист2!$B:$B, $B109)</f>
        <v>2015</v>
      </c>
      <c r="G109" s="3">
        <f>SUMIFS(Лист2!$E:$E, Лист2!$A:$A, $A109, Лист2!$B:$B, $B109)</f>
        <v>1803</v>
      </c>
      <c r="H109">
        <f>IFERROR(Таблица1[[#This Row],[Товарооборот, руб]]/Таблица1[[#This Row],[Количество складов]],0)</f>
        <v>145776.67499999999</v>
      </c>
      <c r="I109">
        <f t="shared" si="1"/>
        <v>22</v>
      </c>
    </row>
    <row r="110" spans="1:9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>
        <f>SUMIFS(Лист2!$C:$C, Лист2!$A:$A, $A110, Лист2!$B:$B, $B110)</f>
        <v>20</v>
      </c>
      <c r="F110" s="3">
        <f>SUMIFS(Лист2!$D:$D, Лист2!$A:$A, $A110, Лист2!$B:$B, $B110)</f>
        <v>2060</v>
      </c>
      <c r="G110" s="3">
        <f>SUMIFS(Лист2!$E:$E, Лист2!$A:$A, $A110, Лист2!$B:$B, $B110)</f>
        <v>1826</v>
      </c>
      <c r="H110">
        <f>IFERROR(Таблица1[[#This Row],[Товарооборот, руб]]/Таблица1[[#This Row],[Количество складов]],0)</f>
        <v>149599.95000000001</v>
      </c>
      <c r="I110">
        <f t="shared" si="1"/>
        <v>23</v>
      </c>
    </row>
    <row r="111" spans="1:9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>
        <f>SUMIFS(Лист2!$C:$C, Лист2!$A:$A, $A111, Лист2!$B:$B, $B111)</f>
        <v>20</v>
      </c>
      <c r="F111" s="3">
        <f>SUMIFS(Лист2!$D:$D, Лист2!$A:$A, $A111, Лист2!$B:$B, $B111)</f>
        <v>2451</v>
      </c>
      <c r="G111" s="3">
        <f>SUMIFS(Лист2!$E:$E, Лист2!$A:$A, $A111, Лист2!$B:$B, $B111)</f>
        <v>2178</v>
      </c>
      <c r="H111">
        <f>IFERROR(Таблица1[[#This Row],[Товарооборот, руб]]/Таблица1[[#This Row],[Количество складов]],0)</f>
        <v>182708.32500000001</v>
      </c>
      <c r="I111">
        <f t="shared" si="1"/>
        <v>23</v>
      </c>
    </row>
    <row r="112" spans="1:9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>
        <f>SUMIFS(Лист2!$C:$C, Лист2!$A:$A, $A112, Лист2!$B:$B, $B112)</f>
        <v>20</v>
      </c>
      <c r="F112" s="3">
        <f>SUMIFS(Лист2!$D:$D, Лист2!$A:$A, $A112, Лист2!$B:$B, $B112)</f>
        <v>2088</v>
      </c>
      <c r="G112" s="3">
        <f>SUMIFS(Лист2!$E:$E, Лист2!$A:$A, $A112, Лист2!$B:$B, $B112)</f>
        <v>1848</v>
      </c>
      <c r="H112">
        <f>IFERROR(Таблица1[[#This Row],[Товарооборот, руб]]/Таблица1[[#This Row],[Количество складов]],0)</f>
        <v>150210.67499999999</v>
      </c>
      <c r="I112">
        <f t="shared" si="1"/>
        <v>22</v>
      </c>
    </row>
    <row r="113" spans="1:9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>
        <f>SUMIFS(Лист2!$C:$C, Лист2!$A:$A, $A113, Лист2!$B:$B, $B113)</f>
        <v>129</v>
      </c>
      <c r="F113" s="3">
        <f>SUMIFS(Лист2!$D:$D, Лист2!$A:$A, $A113, Лист2!$B:$B, $B113)</f>
        <v>17914</v>
      </c>
      <c r="G113" s="3">
        <f>SUMIFS(Лист2!$E:$E, Лист2!$A:$A, $A113, Лист2!$B:$B, $B113)</f>
        <v>16631</v>
      </c>
      <c r="H113">
        <f>IFERROR(Таблица1[[#This Row],[Товарооборот, руб]]/Таблица1[[#This Row],[Количество складов]],0)</f>
        <v>249890.41860465117</v>
      </c>
      <c r="I113">
        <f t="shared" si="1"/>
        <v>21</v>
      </c>
    </row>
    <row r="114" spans="1:9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>
        <f>SUMIFS(Лист2!$C:$C, Лист2!$A:$A, $A114, Лист2!$B:$B, $B114)</f>
        <v>129</v>
      </c>
      <c r="F114" s="3">
        <f>SUMIFS(Лист2!$D:$D, Лист2!$A:$A, $A114, Лист2!$B:$B, $B114)</f>
        <v>16191</v>
      </c>
      <c r="G114" s="3">
        <f>SUMIFS(Лист2!$E:$E, Лист2!$A:$A, $A114, Лист2!$B:$B, $B114)</f>
        <v>15102</v>
      </c>
      <c r="H114">
        <f>IFERROR(Таблица1[[#This Row],[Товарооборот, руб]]/Таблица1[[#This Row],[Количество складов]],0)</f>
        <v>210028.09302325582</v>
      </c>
      <c r="I114">
        <f t="shared" si="1"/>
        <v>21</v>
      </c>
    </row>
    <row r="115" spans="1:9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>
        <f>SUMIFS(Лист2!$C:$C, Лист2!$A:$A, $A115, Лист2!$B:$B, $B115)</f>
        <v>129</v>
      </c>
      <c r="F115" s="3">
        <f>SUMIFS(Лист2!$D:$D, Лист2!$A:$A, $A115, Лист2!$B:$B, $B115)</f>
        <v>15744</v>
      </c>
      <c r="G115" s="3">
        <f>SUMIFS(Лист2!$E:$E, Лист2!$A:$A, $A115, Лист2!$B:$B, $B115)</f>
        <v>14685</v>
      </c>
      <c r="H115">
        <f>IFERROR(Таблица1[[#This Row],[Товарооборот, руб]]/Таблица1[[#This Row],[Количество складов]],0)</f>
        <v>206666.12790697673</v>
      </c>
      <c r="I115">
        <f t="shared" si="1"/>
        <v>21</v>
      </c>
    </row>
    <row r="116" spans="1:9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>
        <f>SUMIFS(Лист2!$C:$C, Лист2!$A:$A, $A116, Лист2!$B:$B, $B116)</f>
        <v>129</v>
      </c>
      <c r="F116" s="3">
        <f>SUMIFS(Лист2!$D:$D, Лист2!$A:$A, $A116, Лист2!$B:$B, $B116)</f>
        <v>16420</v>
      </c>
      <c r="G116" s="3">
        <f>SUMIFS(Лист2!$E:$E, Лист2!$A:$A, $A116, Лист2!$B:$B, $B116)</f>
        <v>15169</v>
      </c>
      <c r="H116">
        <f>IFERROR(Таблица1[[#This Row],[Товарооборот, руб]]/Таблица1[[#This Row],[Количество складов]],0)</f>
        <v>230761.23255813954</v>
      </c>
      <c r="I116">
        <f t="shared" si="1"/>
        <v>20</v>
      </c>
    </row>
    <row r="117" spans="1:9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>
        <f>SUMIFS(Лист2!$C:$C, Лист2!$A:$A, $A117, Лист2!$B:$B, $B117)</f>
        <v>129</v>
      </c>
      <c r="F117" s="3">
        <f>SUMIFS(Лист2!$D:$D, Лист2!$A:$A, $A117, Лист2!$B:$B, $B117)</f>
        <v>16525</v>
      </c>
      <c r="G117" s="3">
        <f>SUMIFS(Лист2!$E:$E, Лист2!$A:$A, $A117, Лист2!$B:$B, $B117)</f>
        <v>15310</v>
      </c>
      <c r="H117">
        <f>IFERROR(Таблица1[[#This Row],[Товарооборот, руб]]/Таблица1[[#This Row],[Количество складов]],0)</f>
        <v>227580.93023255814</v>
      </c>
      <c r="I117">
        <f t="shared" si="1"/>
        <v>18</v>
      </c>
    </row>
    <row r="118" spans="1:9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>
        <f>SUMIFS(Лист2!$C:$C, Лист2!$A:$A, $A118, Лист2!$B:$B, $B118)</f>
        <v>128</v>
      </c>
      <c r="F118" s="3">
        <f>SUMIFS(Лист2!$D:$D, Лист2!$A:$A, $A118, Лист2!$B:$B, $B118)</f>
        <v>17368</v>
      </c>
      <c r="G118" s="3">
        <f>SUMIFS(Лист2!$E:$E, Лист2!$A:$A, $A118, Лист2!$B:$B, $B118)</f>
        <v>16077</v>
      </c>
      <c r="H118">
        <f>IFERROR(Таблица1[[#This Row],[Товарооборот, руб]]/Таблица1[[#This Row],[Количество складов]],0)</f>
        <v>241166.30859375</v>
      </c>
      <c r="I118">
        <f t="shared" si="1"/>
        <v>18</v>
      </c>
    </row>
    <row r="119" spans="1:9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>
        <f>SUMIFS(Лист2!$C:$C, Лист2!$A:$A, $A119, Лист2!$B:$B, $B119)</f>
        <v>129</v>
      </c>
      <c r="F119" s="3">
        <f>SUMIFS(Лист2!$D:$D, Лист2!$A:$A, $A119, Лист2!$B:$B, $B119)</f>
        <v>14009</v>
      </c>
      <c r="G119" s="3">
        <f>SUMIFS(Лист2!$E:$E, Лист2!$A:$A, $A119, Лист2!$B:$B, $B119)</f>
        <v>12920</v>
      </c>
      <c r="H119">
        <f>IFERROR(Таблица1[[#This Row],[Товарооборот, руб]]/Таблица1[[#This Row],[Количество складов]],0)</f>
        <v>188697.8023255814</v>
      </c>
      <c r="I119">
        <f t="shared" si="1"/>
        <v>19</v>
      </c>
    </row>
    <row r="120" spans="1:9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>
        <f>SUMIFS(Лист2!$C:$C, Лист2!$A:$A, $A120, Лист2!$B:$B, $B120)</f>
        <v>129</v>
      </c>
      <c r="F120" s="3">
        <f>SUMIFS(Лист2!$D:$D, Лист2!$A:$A, $A120, Лист2!$B:$B, $B120)</f>
        <v>16459</v>
      </c>
      <c r="G120" s="3">
        <f>SUMIFS(Лист2!$E:$E, Лист2!$A:$A, $A120, Лист2!$B:$B, $B120)</f>
        <v>15355</v>
      </c>
      <c r="H120">
        <f>IFERROR(Таблица1[[#This Row],[Товарооборот, руб]]/Таблица1[[#This Row],[Количество складов]],0)</f>
        <v>216066.80541744188</v>
      </c>
      <c r="I120">
        <f t="shared" si="1"/>
        <v>22</v>
      </c>
    </row>
    <row r="121" spans="1:9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>
        <f>SUMIFS(Лист2!$C:$C, Лист2!$A:$A, $A121, Лист2!$B:$B, $B121)</f>
        <v>129</v>
      </c>
      <c r="F121" s="3">
        <f>SUMIFS(Лист2!$D:$D, Лист2!$A:$A, $A121, Лист2!$B:$B, $B121)</f>
        <v>17002</v>
      </c>
      <c r="G121" s="3">
        <f>SUMIFS(Лист2!$E:$E, Лист2!$A:$A, $A121, Лист2!$B:$B, $B121)</f>
        <v>15570</v>
      </c>
      <c r="H121">
        <f>IFERROR(Таблица1[[#This Row],[Товарооборот, руб]]/Таблица1[[#This Row],[Количество складов]],0)</f>
        <v>240723.38372093023</v>
      </c>
      <c r="I121">
        <f t="shared" si="1"/>
        <v>18</v>
      </c>
    </row>
    <row r="122" spans="1:9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>
        <f>SUMIFS(Лист2!$C:$C, Лист2!$A:$A, $A122, Лист2!$B:$B, $B122)</f>
        <v>129</v>
      </c>
      <c r="F122" s="3">
        <f>SUMIFS(Лист2!$D:$D, Лист2!$A:$A, $A122, Лист2!$B:$B, $B122)</f>
        <v>16387</v>
      </c>
      <c r="G122" s="3">
        <f>SUMIFS(Лист2!$E:$E, Лист2!$A:$A, $A122, Лист2!$B:$B, $B122)</f>
        <v>15322</v>
      </c>
      <c r="H122">
        <f>IFERROR(Таблица1[[#This Row],[Товарооборот, руб]]/Таблица1[[#This Row],[Количество складов]],0)</f>
        <v>225135.81395348837</v>
      </c>
      <c r="I122">
        <f t="shared" si="1"/>
        <v>20</v>
      </c>
    </row>
    <row r="123" spans="1:9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>
        <f>SUMIFS(Лист2!$C:$C, Лист2!$A:$A, $A123, Лист2!$B:$B, $B123)</f>
        <v>129</v>
      </c>
      <c r="F123" s="3">
        <f>SUMIFS(Лист2!$D:$D, Лист2!$A:$A, $A123, Лист2!$B:$B, $B123)</f>
        <v>16373</v>
      </c>
      <c r="G123" s="3">
        <f>SUMIFS(Лист2!$E:$E, Лист2!$A:$A, $A123, Лист2!$B:$B, $B123)</f>
        <v>15223</v>
      </c>
      <c r="H123">
        <f>IFERROR(Таблица1[[#This Row],[Товарооборот, руб]]/Таблица1[[#This Row],[Количество складов]],0)</f>
        <v>215913.95348837209</v>
      </c>
      <c r="I123">
        <f t="shared" si="1"/>
        <v>21</v>
      </c>
    </row>
    <row r="124" spans="1:9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>
        <f>SUMIFS(Лист2!$C:$C, Лист2!$A:$A, $A124, Лист2!$B:$B, $B124)</f>
        <v>129</v>
      </c>
      <c r="F124" s="3">
        <f>SUMIFS(Лист2!$D:$D, Лист2!$A:$A, $A124, Лист2!$B:$B, $B124)</f>
        <v>17095</v>
      </c>
      <c r="G124" s="3">
        <f>SUMIFS(Лист2!$E:$E, Лист2!$A:$A, $A124, Лист2!$B:$B, $B124)</f>
        <v>15919</v>
      </c>
      <c r="H124">
        <f>IFERROR(Таблица1[[#This Row],[Товарооборот, руб]]/Таблица1[[#This Row],[Количество складов]],0)</f>
        <v>227664.8962593023</v>
      </c>
      <c r="I124">
        <f t="shared" si="1"/>
        <v>21</v>
      </c>
    </row>
    <row r="125" spans="1:9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>
        <f>SUMIFS(Лист2!$C:$C, Лист2!$A:$A, $A125, Лист2!$B:$B, $B125)</f>
        <v>129</v>
      </c>
      <c r="F125" s="3">
        <f>SUMIFS(Лист2!$D:$D, Лист2!$A:$A, $A125, Лист2!$B:$B, $B125)</f>
        <v>15665</v>
      </c>
      <c r="G125" s="3">
        <f>SUMIFS(Лист2!$E:$E, Лист2!$A:$A, $A125, Лист2!$B:$B, $B125)</f>
        <v>14501</v>
      </c>
      <c r="H125">
        <f>IFERROR(Таблица1[[#This Row],[Товарооборот, руб]]/Таблица1[[#This Row],[Количество складов]],0)</f>
        <v>211460.78406976743</v>
      </c>
      <c r="I125">
        <f t="shared" si="1"/>
        <v>19</v>
      </c>
    </row>
    <row r="126" spans="1:9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>
        <f>SUMIFS(Лист2!$C:$C, Лист2!$A:$A, $A126, Лист2!$B:$B, $B126)</f>
        <v>128</v>
      </c>
      <c r="F126" s="3">
        <f>SUMIFS(Лист2!$D:$D, Лист2!$A:$A, $A126, Лист2!$B:$B, $B126)</f>
        <v>16450</v>
      </c>
      <c r="G126" s="3">
        <f>SUMIFS(Лист2!$E:$E, Лист2!$A:$A, $A126, Лист2!$B:$B, $B126)</f>
        <v>15320</v>
      </c>
      <c r="H126">
        <f>IFERROR(Таблица1[[#This Row],[Товарооборот, руб]]/Таблица1[[#This Row],[Количество складов]],0)</f>
        <v>227804.94140625</v>
      </c>
      <c r="I126">
        <f t="shared" si="1"/>
        <v>18</v>
      </c>
    </row>
    <row r="127" spans="1:9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>
        <f>SUMIFS(Лист2!$C:$C, Лист2!$A:$A, $A127, Лист2!$B:$B, $B127)</f>
        <v>129</v>
      </c>
      <c r="F127" s="3">
        <f>SUMIFS(Лист2!$D:$D, Лист2!$A:$A, $A127, Лист2!$B:$B, $B127)</f>
        <v>15304</v>
      </c>
      <c r="G127" s="3">
        <f>SUMIFS(Лист2!$E:$E, Лист2!$A:$A, $A127, Лист2!$B:$B, $B127)</f>
        <v>14315</v>
      </c>
      <c r="H127">
        <f>IFERROR(Таблица1[[#This Row],[Товарооборот, руб]]/Таблица1[[#This Row],[Количество складов]],0)</f>
        <v>205174.05813953487</v>
      </c>
      <c r="I127">
        <f t="shared" si="1"/>
        <v>20</v>
      </c>
    </row>
    <row r="128" spans="1:9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>
        <f>SUMIFS(Лист2!$C:$C, Лист2!$A:$A, $A128, Лист2!$B:$B, $B128)</f>
        <v>129</v>
      </c>
      <c r="F128" s="3">
        <f>SUMIFS(Лист2!$D:$D, Лист2!$A:$A, $A128, Лист2!$B:$B, $B128)</f>
        <v>15778</v>
      </c>
      <c r="G128" s="3">
        <f>SUMIFS(Лист2!$E:$E, Лист2!$A:$A, $A128, Лист2!$B:$B, $B128)</f>
        <v>14624</v>
      </c>
      <c r="H128">
        <f>IFERROR(Таблица1[[#This Row],[Товарооборот, руб]]/Таблица1[[#This Row],[Количество складов]],0)</f>
        <v>220364.34883720931</v>
      </c>
      <c r="I128">
        <f t="shared" si="1"/>
        <v>19</v>
      </c>
    </row>
    <row r="129" spans="1:9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>
        <f>SUMIFS(Лист2!$C:$C, Лист2!$A:$A, $A129, Лист2!$B:$B, $B129)</f>
        <v>129</v>
      </c>
      <c r="F129" s="3">
        <f>SUMIFS(Лист2!$D:$D, Лист2!$A:$A, $A129, Лист2!$B:$B, $B129)</f>
        <v>16376</v>
      </c>
      <c r="G129" s="3">
        <f>SUMIFS(Лист2!$E:$E, Лист2!$A:$A, $A129, Лист2!$B:$B, $B129)</f>
        <v>15197</v>
      </c>
      <c r="H129">
        <f>IFERROR(Таблица1[[#This Row],[Товарооборот, руб]]/Таблица1[[#This Row],[Количество складов]],0)</f>
        <v>223029.53570232558</v>
      </c>
      <c r="I129">
        <f t="shared" si="1"/>
        <v>19</v>
      </c>
    </row>
    <row r="130" spans="1:9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>
        <f>SUMIFS(Лист2!$C:$C, Лист2!$A:$A, $A130, Лист2!$B:$B, $B130)</f>
        <v>129</v>
      </c>
      <c r="F130" s="3">
        <f>SUMIFS(Лист2!$D:$D, Лист2!$A:$A, $A130, Лист2!$B:$B, $B130)</f>
        <v>19856</v>
      </c>
      <c r="G130" s="3">
        <f>SUMIFS(Лист2!$E:$E, Лист2!$A:$A, $A130, Лист2!$B:$B, $B130)</f>
        <v>18325</v>
      </c>
      <c r="H130">
        <f>IFERROR(Таблица1[[#This Row],[Товарооборот, руб]]/Таблица1[[#This Row],[Количество складов]],0)</f>
        <v>272123.46288023255</v>
      </c>
      <c r="I130">
        <f t="shared" ref="I130:I193" si="2">INT((A130-DATE(YEAR(A130),1,1)+WEEKDAY(A130,2)+6)/7)</f>
        <v>22</v>
      </c>
    </row>
    <row r="131" spans="1:9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>
        <f>SUMIFS(Лист2!$C:$C, Лист2!$A:$A, $A131, Лист2!$B:$B, $B131)</f>
        <v>129</v>
      </c>
      <c r="F131" s="3">
        <f>SUMIFS(Лист2!$D:$D, Лист2!$A:$A, $A131, Лист2!$B:$B, $B131)</f>
        <v>15822</v>
      </c>
      <c r="G131" s="3">
        <f>SUMIFS(Лист2!$E:$E, Лист2!$A:$A, $A131, Лист2!$B:$B, $B131)</f>
        <v>14753</v>
      </c>
      <c r="H131">
        <f>IFERROR(Таблица1[[#This Row],[Товарооборот, руб]]/Таблица1[[#This Row],[Количество складов]],0)</f>
        <v>210588.47674418605</v>
      </c>
      <c r="I131">
        <f t="shared" si="2"/>
        <v>21</v>
      </c>
    </row>
    <row r="132" spans="1:9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>
        <f>SUMIFS(Лист2!$C:$C, Лист2!$A:$A, $A132, Лист2!$B:$B, $B132)</f>
        <v>129</v>
      </c>
      <c r="F132" s="3">
        <f>SUMIFS(Лист2!$D:$D, Лист2!$A:$A, $A132, Лист2!$B:$B, $B132)</f>
        <v>18042</v>
      </c>
      <c r="G132" s="3">
        <f>SUMIFS(Лист2!$E:$E, Лист2!$A:$A, $A132, Лист2!$B:$B, $B132)</f>
        <v>16631</v>
      </c>
      <c r="H132">
        <f>IFERROR(Таблица1[[#This Row],[Товарооборот, руб]]/Таблица1[[#This Row],[Количество складов]],0)</f>
        <v>251309.13953488372</v>
      </c>
      <c r="I132">
        <f t="shared" si="2"/>
        <v>18</v>
      </c>
    </row>
    <row r="133" spans="1:9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>
        <f>SUMIFS(Лист2!$C:$C, Лист2!$A:$A, $A133, Лист2!$B:$B, $B133)</f>
        <v>129</v>
      </c>
      <c r="F133" s="3">
        <f>SUMIFS(Лист2!$D:$D, Лист2!$A:$A, $A133, Лист2!$B:$B, $B133)</f>
        <v>16437</v>
      </c>
      <c r="G133" s="3">
        <f>SUMIFS(Лист2!$E:$E, Лист2!$A:$A, $A133, Лист2!$B:$B, $B133)</f>
        <v>15285</v>
      </c>
      <c r="H133">
        <f>IFERROR(Таблица1[[#This Row],[Товарооборот, руб]]/Таблица1[[#This Row],[Количество складов]],0)</f>
        <v>228962.6054732558</v>
      </c>
      <c r="I133">
        <f t="shared" si="2"/>
        <v>20</v>
      </c>
    </row>
    <row r="134" spans="1:9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>
        <f>SUMIFS(Лист2!$C:$C, Лист2!$A:$A, $A134, Лист2!$B:$B, $B134)</f>
        <v>129</v>
      </c>
      <c r="F134" s="3">
        <f>SUMIFS(Лист2!$D:$D, Лист2!$A:$A, $A134, Лист2!$B:$B, $B134)</f>
        <v>20452</v>
      </c>
      <c r="G134" s="3">
        <f>SUMIFS(Лист2!$E:$E, Лист2!$A:$A, $A134, Лист2!$B:$B, $B134)</f>
        <v>18857</v>
      </c>
      <c r="H134">
        <f>IFERROR(Таблица1[[#This Row],[Товарооборот, руб]]/Таблица1[[#This Row],[Количество складов]],0)</f>
        <v>295283.38372093026</v>
      </c>
      <c r="I134">
        <f t="shared" si="2"/>
        <v>19</v>
      </c>
    </row>
    <row r="135" spans="1:9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>
        <f>SUMIFS(Лист2!$C:$C, Лист2!$A:$A, $A135, Лист2!$B:$B, $B135)</f>
        <v>129</v>
      </c>
      <c r="F135" s="3">
        <f>SUMIFS(Лист2!$D:$D, Лист2!$A:$A, $A135, Лист2!$B:$B, $B135)</f>
        <v>14582</v>
      </c>
      <c r="G135" s="3">
        <f>SUMIFS(Лист2!$E:$E, Лист2!$A:$A, $A135, Лист2!$B:$B, $B135)</f>
        <v>13512</v>
      </c>
      <c r="H135">
        <f>IFERROR(Таблица1[[#This Row],[Товарооборот, руб]]/Таблица1[[#This Row],[Количество складов]],0)</f>
        <v>196319.93023255814</v>
      </c>
      <c r="I135">
        <f t="shared" si="2"/>
        <v>19</v>
      </c>
    </row>
    <row r="136" spans="1:9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>
        <f>SUMIFS(Лист2!$C:$C, Лист2!$A:$A, $A136, Лист2!$B:$B, $B136)</f>
        <v>129</v>
      </c>
      <c r="F136" s="3">
        <f>SUMIFS(Лист2!$D:$D, Лист2!$A:$A, $A136, Лист2!$B:$B, $B136)</f>
        <v>16432</v>
      </c>
      <c r="G136" s="3">
        <f>SUMIFS(Лист2!$E:$E, Лист2!$A:$A, $A136, Лист2!$B:$B, $B136)</f>
        <v>15345</v>
      </c>
      <c r="H136">
        <f>IFERROR(Таблица1[[#This Row],[Товарооборот, руб]]/Таблица1[[#This Row],[Количество складов]],0)</f>
        <v>218515.76744186046</v>
      </c>
      <c r="I136">
        <f t="shared" si="2"/>
        <v>22</v>
      </c>
    </row>
    <row r="137" spans="1:9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>
        <f>SUMIFS(Лист2!$C:$C, Лист2!$A:$A, $A137, Лист2!$B:$B, $B137)</f>
        <v>125</v>
      </c>
      <c r="F137" s="3">
        <f>SUMIFS(Лист2!$D:$D, Лист2!$A:$A, $A137, Лист2!$B:$B, $B137)</f>
        <v>22291</v>
      </c>
      <c r="G137" s="3">
        <f>SUMIFS(Лист2!$E:$E, Лист2!$A:$A, $A137, Лист2!$B:$B, $B137)</f>
        <v>20635</v>
      </c>
      <c r="H137">
        <f>IFERROR(Таблица1[[#This Row],[Товарооборот, руб]]/Таблица1[[#This Row],[Количество складов]],0)</f>
        <v>338589.04800000001</v>
      </c>
      <c r="I137">
        <f t="shared" si="2"/>
        <v>21</v>
      </c>
    </row>
    <row r="138" spans="1:9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>
        <f>SUMIFS(Лист2!$C:$C, Лист2!$A:$A, $A138, Лист2!$B:$B, $B138)</f>
        <v>125</v>
      </c>
      <c r="F138" s="3">
        <f>SUMIFS(Лист2!$D:$D, Лист2!$A:$A, $A138, Лист2!$B:$B, $B138)</f>
        <v>20771</v>
      </c>
      <c r="G138" s="3">
        <f>SUMIFS(Лист2!$E:$E, Лист2!$A:$A, $A138, Лист2!$B:$B, $B138)</f>
        <v>19338</v>
      </c>
      <c r="H138">
        <f>IFERROR(Таблица1[[#This Row],[Товарооборот, руб]]/Таблица1[[#This Row],[Количество складов]],0)</f>
        <v>296185.94400000002</v>
      </c>
      <c r="I138">
        <f t="shared" si="2"/>
        <v>21</v>
      </c>
    </row>
    <row r="139" spans="1:9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>
        <f>SUMIFS(Лист2!$C:$C, Лист2!$A:$A, $A139, Лист2!$B:$B, $B139)</f>
        <v>125</v>
      </c>
      <c r="F139" s="3">
        <f>SUMIFS(Лист2!$D:$D, Лист2!$A:$A, $A139, Лист2!$B:$B, $B139)</f>
        <v>20079</v>
      </c>
      <c r="G139" s="3">
        <f>SUMIFS(Лист2!$E:$E, Лист2!$A:$A, $A139, Лист2!$B:$B, $B139)</f>
        <v>18721</v>
      </c>
      <c r="H139">
        <f>IFERROR(Таблица1[[#This Row],[Товарооборот, руб]]/Таблица1[[#This Row],[Количество складов]],0)</f>
        <v>294676.53600000002</v>
      </c>
      <c r="I139">
        <f t="shared" si="2"/>
        <v>21</v>
      </c>
    </row>
    <row r="140" spans="1:9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>
        <f>SUMIFS(Лист2!$C:$C, Лист2!$A:$A, $A140, Лист2!$B:$B, $B140)</f>
        <v>125</v>
      </c>
      <c r="F140" s="3">
        <f>SUMIFS(Лист2!$D:$D, Лист2!$A:$A, $A140, Лист2!$B:$B, $B140)</f>
        <v>20132</v>
      </c>
      <c r="G140" s="3">
        <f>SUMIFS(Лист2!$E:$E, Лист2!$A:$A, $A140, Лист2!$B:$B, $B140)</f>
        <v>18617</v>
      </c>
      <c r="H140">
        <f>IFERROR(Таблица1[[#This Row],[Товарооборот, руб]]/Таблица1[[#This Row],[Количество складов]],0)</f>
        <v>309547.41600000003</v>
      </c>
      <c r="I140">
        <f t="shared" si="2"/>
        <v>20</v>
      </c>
    </row>
    <row r="141" spans="1:9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>
        <f>SUMIFS(Лист2!$C:$C, Лист2!$A:$A, $A141, Лист2!$B:$B, $B141)</f>
        <v>125</v>
      </c>
      <c r="F141" s="3">
        <f>SUMIFS(Лист2!$D:$D, Лист2!$A:$A, $A141, Лист2!$B:$B, $B141)</f>
        <v>20495</v>
      </c>
      <c r="G141" s="3">
        <f>SUMIFS(Лист2!$E:$E, Лист2!$A:$A, $A141, Лист2!$B:$B, $B141)</f>
        <v>18964</v>
      </c>
      <c r="H141">
        <f>IFERROR(Таблица1[[#This Row],[Товарооборот, руб]]/Таблица1[[#This Row],[Количество складов]],0)</f>
        <v>307255.63199999998</v>
      </c>
      <c r="I141">
        <f t="shared" si="2"/>
        <v>18</v>
      </c>
    </row>
    <row r="142" spans="1:9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>
        <f>SUMIFS(Лист2!$C:$C, Лист2!$A:$A, $A142, Лист2!$B:$B, $B142)</f>
        <v>125</v>
      </c>
      <c r="F142" s="3">
        <f>SUMIFS(Лист2!$D:$D, Лист2!$A:$A, $A142, Лист2!$B:$B, $B142)</f>
        <v>21863</v>
      </c>
      <c r="G142" s="3">
        <f>SUMIFS(Лист2!$E:$E, Лист2!$A:$A, $A142, Лист2!$B:$B, $B142)</f>
        <v>20160</v>
      </c>
      <c r="H142">
        <f>IFERROR(Таблица1[[#This Row],[Товарооборот, руб]]/Таблица1[[#This Row],[Количество складов]],0)</f>
        <v>332475.07199999999</v>
      </c>
      <c r="I142">
        <f t="shared" si="2"/>
        <v>18</v>
      </c>
    </row>
    <row r="143" spans="1:9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>
        <f>SUMIFS(Лист2!$C:$C, Лист2!$A:$A, $A143, Лист2!$B:$B, $B143)</f>
        <v>125</v>
      </c>
      <c r="F143" s="3">
        <f>SUMIFS(Лист2!$D:$D, Лист2!$A:$A, $A143, Лист2!$B:$B, $B143)</f>
        <v>16932</v>
      </c>
      <c r="G143" s="3">
        <f>SUMIFS(Лист2!$E:$E, Лист2!$A:$A, $A143, Лист2!$B:$B, $B143)</f>
        <v>15601</v>
      </c>
      <c r="H143">
        <f>IFERROR(Таблица1[[#This Row],[Товарооборот, руб]]/Таблица1[[#This Row],[Количество складов]],0)</f>
        <v>254749.89600000001</v>
      </c>
      <c r="I143">
        <f t="shared" si="2"/>
        <v>19</v>
      </c>
    </row>
    <row r="144" spans="1:9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>
        <f>SUMIFS(Лист2!$C:$C, Лист2!$A:$A, $A144, Лист2!$B:$B, $B144)</f>
        <v>124</v>
      </c>
      <c r="F144" s="3">
        <f>SUMIFS(Лист2!$D:$D, Лист2!$A:$A, $A144, Лист2!$B:$B, $B144)</f>
        <v>21153</v>
      </c>
      <c r="G144" s="3">
        <f>SUMIFS(Лист2!$E:$E, Лист2!$A:$A, $A144, Лист2!$B:$B, $B144)</f>
        <v>19673</v>
      </c>
      <c r="H144">
        <f>IFERROR(Таблица1[[#This Row],[Товарооборот, руб]]/Таблица1[[#This Row],[Количество складов]],0)</f>
        <v>309402.90725806454</v>
      </c>
      <c r="I144">
        <f t="shared" si="2"/>
        <v>22</v>
      </c>
    </row>
    <row r="145" spans="1:9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>
        <f>SUMIFS(Лист2!$C:$C, Лист2!$A:$A, $A145, Лист2!$B:$B, $B145)</f>
        <v>125</v>
      </c>
      <c r="F145" s="3">
        <f>SUMIFS(Лист2!$D:$D, Лист2!$A:$A, $A145, Лист2!$B:$B, $B145)</f>
        <v>20602</v>
      </c>
      <c r="G145" s="3">
        <f>SUMIFS(Лист2!$E:$E, Лист2!$A:$A, $A145, Лист2!$B:$B, $B145)</f>
        <v>18845</v>
      </c>
      <c r="H145">
        <f>IFERROR(Таблица1[[#This Row],[Товарооборот, руб]]/Таблица1[[#This Row],[Количество складов]],0)</f>
        <v>320617.54800000001</v>
      </c>
      <c r="I145">
        <f t="shared" si="2"/>
        <v>18</v>
      </c>
    </row>
    <row r="146" spans="1:9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>
        <f>SUMIFS(Лист2!$C:$C, Лист2!$A:$A, $A146, Лист2!$B:$B, $B146)</f>
        <v>125</v>
      </c>
      <c r="F146" s="3">
        <f>SUMIFS(Лист2!$D:$D, Лист2!$A:$A, $A146, Лист2!$B:$B, $B146)</f>
        <v>21106</v>
      </c>
      <c r="G146" s="3">
        <f>SUMIFS(Лист2!$E:$E, Лист2!$A:$A, $A146, Лист2!$B:$B, $B146)</f>
        <v>19651</v>
      </c>
      <c r="H146">
        <f>IFERROR(Таблица1[[#This Row],[Товарооборот, руб]]/Таблица1[[#This Row],[Количество складов]],0)</f>
        <v>316628.61599999998</v>
      </c>
      <c r="I146">
        <f t="shared" si="2"/>
        <v>20</v>
      </c>
    </row>
    <row r="147" spans="1:9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>
        <f>SUMIFS(Лист2!$C:$C, Лист2!$A:$A, $A147, Лист2!$B:$B, $B147)</f>
        <v>125</v>
      </c>
      <c r="F147" s="3">
        <f>SUMIFS(Лист2!$D:$D, Лист2!$A:$A, $A147, Лист2!$B:$B, $B147)</f>
        <v>20911</v>
      </c>
      <c r="G147" s="3">
        <f>SUMIFS(Лист2!$E:$E, Лист2!$A:$A, $A147, Лист2!$B:$B, $B147)</f>
        <v>19358</v>
      </c>
      <c r="H147">
        <f>IFERROR(Таблица1[[#This Row],[Товарооборот, руб]]/Таблица1[[#This Row],[Количество складов]],0)</f>
        <v>303217.25255999999</v>
      </c>
      <c r="I147">
        <f t="shared" si="2"/>
        <v>21</v>
      </c>
    </row>
    <row r="148" spans="1:9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>
        <f>SUMIFS(Лист2!$C:$C, Лист2!$A:$A, $A148, Лист2!$B:$B, $B148)</f>
        <v>125</v>
      </c>
      <c r="F148" s="3">
        <f>SUMIFS(Лист2!$D:$D, Лист2!$A:$A, $A148, Лист2!$B:$B, $B148)</f>
        <v>21674</v>
      </c>
      <c r="G148" s="3">
        <f>SUMIFS(Лист2!$E:$E, Лист2!$A:$A, $A148, Лист2!$B:$B, $B148)</f>
        <v>20155</v>
      </c>
      <c r="H148">
        <f>IFERROR(Таблица1[[#This Row],[Товарооборот, руб]]/Таблица1[[#This Row],[Количество складов]],0)</f>
        <v>317114.47200000001</v>
      </c>
      <c r="I148">
        <f t="shared" si="2"/>
        <v>21</v>
      </c>
    </row>
    <row r="149" spans="1:9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>
        <f>SUMIFS(Лист2!$C:$C, Лист2!$A:$A, $A149, Лист2!$B:$B, $B149)</f>
        <v>125</v>
      </c>
      <c r="F149" s="3">
        <f>SUMIFS(Лист2!$D:$D, Лист2!$A:$A, $A149, Лист2!$B:$B, $B149)</f>
        <v>18944</v>
      </c>
      <c r="G149" s="3">
        <f>SUMIFS(Лист2!$E:$E, Лист2!$A:$A, $A149, Лист2!$B:$B, $B149)</f>
        <v>17541</v>
      </c>
      <c r="H149">
        <f>IFERROR(Таблица1[[#This Row],[Товарооборот, руб]]/Таблица1[[#This Row],[Количество складов]],0)</f>
        <v>285373.87199999997</v>
      </c>
      <c r="I149">
        <f t="shared" si="2"/>
        <v>19</v>
      </c>
    </row>
    <row r="150" spans="1:9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>
        <f>SUMIFS(Лист2!$C:$C, Лист2!$A:$A, $A150, Лист2!$B:$B, $B150)</f>
        <v>125</v>
      </c>
      <c r="F150" s="3">
        <f>SUMIFS(Лист2!$D:$D, Лист2!$A:$A, $A150, Лист2!$B:$B, $B150)</f>
        <v>20914</v>
      </c>
      <c r="G150" s="3">
        <f>SUMIFS(Лист2!$E:$E, Лист2!$A:$A, $A150, Лист2!$B:$B, $B150)</f>
        <v>19479</v>
      </c>
      <c r="H150">
        <f>IFERROR(Таблица1[[#This Row],[Товарооборот, руб]]/Таблица1[[#This Row],[Количество складов]],0)</f>
        <v>319344.228</v>
      </c>
      <c r="I150">
        <f t="shared" si="2"/>
        <v>18</v>
      </c>
    </row>
    <row r="151" spans="1:9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>
        <f>SUMIFS(Лист2!$C:$C, Лист2!$A:$A, $A151, Лист2!$B:$B, $B151)</f>
        <v>125</v>
      </c>
      <c r="F151" s="3">
        <f>SUMIFS(Лист2!$D:$D, Лист2!$A:$A, $A151, Лист2!$B:$B, $B151)</f>
        <v>19965</v>
      </c>
      <c r="G151" s="3">
        <f>SUMIFS(Лист2!$E:$E, Лист2!$A:$A, $A151, Лист2!$B:$B, $B151)</f>
        <v>18573</v>
      </c>
      <c r="H151">
        <f>IFERROR(Таблица1[[#This Row],[Товарооборот, руб]]/Таблица1[[#This Row],[Количество складов]],0)</f>
        <v>297576.924</v>
      </c>
      <c r="I151">
        <f t="shared" si="2"/>
        <v>20</v>
      </c>
    </row>
    <row r="152" spans="1:9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>
        <f>SUMIFS(Лист2!$C:$C, Лист2!$A:$A, $A152, Лист2!$B:$B, $B152)</f>
        <v>129</v>
      </c>
      <c r="F152" s="3">
        <f>SUMIFS(Лист2!$D:$D, Лист2!$A:$A, $A152, Лист2!$B:$B, $B152)</f>
        <v>17235</v>
      </c>
      <c r="G152" s="3">
        <f>SUMIFS(Лист2!$E:$E, Лист2!$A:$A, $A152, Лист2!$B:$B, $B152)</f>
        <v>16052</v>
      </c>
      <c r="H152">
        <f>IFERROR(Таблица1[[#This Row],[Товарооборот, руб]]/Таблица1[[#This Row],[Количество складов]],0)</f>
        <v>227347.02325581395</v>
      </c>
      <c r="I152">
        <f t="shared" si="2"/>
        <v>23</v>
      </c>
    </row>
    <row r="153" spans="1:9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>
        <f>SUMIFS(Лист2!$C:$C, Лист2!$A:$A, $A153, Лист2!$B:$B, $B153)</f>
        <v>125</v>
      </c>
      <c r="F153" s="3">
        <f>SUMIFS(Лист2!$D:$D, Лист2!$A:$A, $A153, Лист2!$B:$B, $B153)</f>
        <v>18861</v>
      </c>
      <c r="G153" s="3">
        <f>SUMIFS(Лист2!$E:$E, Лист2!$A:$A, $A153, Лист2!$B:$B, $B153)</f>
        <v>17420</v>
      </c>
      <c r="H153">
        <f>IFERROR(Таблица1[[#This Row],[Товарооборот, руб]]/Таблица1[[#This Row],[Количество складов]],0)</f>
        <v>293055.99599999998</v>
      </c>
      <c r="I153">
        <f t="shared" si="2"/>
        <v>19</v>
      </c>
    </row>
    <row r="154" spans="1:9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>
        <f>SUMIFS(Лист2!$C:$C, Лист2!$A:$A, $A154, Лист2!$B:$B, $B154)</f>
        <v>129</v>
      </c>
      <c r="F154" s="3">
        <f>SUMIFS(Лист2!$D:$D, Лист2!$A:$A, $A154, Лист2!$B:$B, $B154)</f>
        <v>20243</v>
      </c>
      <c r="G154" s="3">
        <f>SUMIFS(Лист2!$E:$E, Лист2!$A:$A, $A154, Лист2!$B:$B, $B154)</f>
        <v>18711</v>
      </c>
      <c r="H154">
        <f>IFERROR(Таблица1[[#This Row],[Товарооборот, руб]]/Таблица1[[#This Row],[Количество складов]],0)</f>
        <v>276934.0581395349</v>
      </c>
      <c r="I154">
        <f t="shared" si="2"/>
        <v>23</v>
      </c>
    </row>
    <row r="155" spans="1:9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>
        <f>SUMIFS(Лист2!$C:$C, Лист2!$A:$A, $A155, Лист2!$B:$B, $B155)</f>
        <v>125</v>
      </c>
      <c r="F155" s="3">
        <f>SUMIFS(Лист2!$D:$D, Лист2!$A:$A, $A155, Лист2!$B:$B, $B155)</f>
        <v>20218</v>
      </c>
      <c r="G155" s="3">
        <f>SUMIFS(Лист2!$E:$E, Лист2!$A:$A, $A155, Лист2!$B:$B, $B155)</f>
        <v>18647</v>
      </c>
      <c r="H155">
        <f>IFERROR(Таблица1[[#This Row],[Товарооборот, руб]]/Таблица1[[#This Row],[Количество складов]],0)</f>
        <v>304738.75199999998</v>
      </c>
      <c r="I155">
        <f t="shared" si="2"/>
        <v>19</v>
      </c>
    </row>
    <row r="156" spans="1:9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>
        <f>SUMIFS(Лист2!$C:$C, Лист2!$A:$A, $A156, Лист2!$B:$B, $B156)</f>
        <v>125</v>
      </c>
      <c r="F156" s="3">
        <f>SUMIFS(Лист2!$D:$D, Лист2!$A:$A, $A156, Лист2!$B:$B, $B156)</f>
        <v>24574</v>
      </c>
      <c r="G156" s="3">
        <f>SUMIFS(Лист2!$E:$E, Лист2!$A:$A, $A156, Лист2!$B:$B, $B156)</f>
        <v>22609</v>
      </c>
      <c r="H156">
        <f>IFERROR(Таблица1[[#This Row],[Товарооборот, руб]]/Таблица1[[#This Row],[Количество складов]],0)</f>
        <v>371264.64</v>
      </c>
      <c r="I156">
        <f t="shared" si="2"/>
        <v>22</v>
      </c>
    </row>
    <row r="157" spans="1:9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>
        <f>SUMIFS(Лист2!$C:$C, Лист2!$A:$A, $A157, Лист2!$B:$B, $B157)</f>
        <v>129</v>
      </c>
      <c r="F157" s="3">
        <f>SUMIFS(Лист2!$D:$D, Лист2!$A:$A, $A157, Лист2!$B:$B, $B157)</f>
        <v>16453</v>
      </c>
      <c r="G157" s="3">
        <f>SUMIFS(Лист2!$E:$E, Лист2!$A:$A, $A157, Лист2!$B:$B, $B157)</f>
        <v>15289</v>
      </c>
      <c r="H157">
        <f>IFERROR(Таблица1[[#This Row],[Товарооборот, руб]]/Таблица1[[#This Row],[Количество складов]],0)</f>
        <v>218224.84302325582</v>
      </c>
      <c r="I157">
        <f t="shared" si="2"/>
        <v>22</v>
      </c>
    </row>
    <row r="158" spans="1:9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>
        <f>SUMIFS(Лист2!$C:$C, Лист2!$A:$A, $A158, Лист2!$B:$B, $B158)</f>
        <v>124</v>
      </c>
      <c r="F158" s="3">
        <f>SUMIFS(Лист2!$D:$D, Лист2!$A:$A, $A158, Лист2!$B:$B, $B158)</f>
        <v>20358</v>
      </c>
      <c r="G158" s="3">
        <f>SUMIFS(Лист2!$E:$E, Лист2!$A:$A, $A158, Лист2!$B:$B, $B158)</f>
        <v>18890</v>
      </c>
      <c r="H158">
        <f>IFERROR(Таблица1[[#This Row],[Товарооборот, руб]]/Таблица1[[#This Row],[Количество складов]],0)</f>
        <v>297447</v>
      </c>
      <c r="I158">
        <f t="shared" si="2"/>
        <v>21</v>
      </c>
    </row>
    <row r="159" spans="1:9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>
        <f>SUMIFS(Лист2!$C:$C, Лист2!$A:$A, $A159, Лист2!$B:$B, $B159)</f>
        <v>125</v>
      </c>
      <c r="F159" s="3">
        <f>SUMIFS(Лист2!$D:$D, Лист2!$A:$A, $A159, Лист2!$B:$B, $B159)</f>
        <v>22368</v>
      </c>
      <c r="G159" s="3">
        <f>SUMIFS(Лист2!$E:$E, Лист2!$A:$A, $A159, Лист2!$B:$B, $B159)</f>
        <v>20625</v>
      </c>
      <c r="H159">
        <f>IFERROR(Таблица1[[#This Row],[Товарооборот, руб]]/Таблица1[[#This Row],[Количество складов]],0)</f>
        <v>344229.87599999999</v>
      </c>
      <c r="I159">
        <f t="shared" si="2"/>
        <v>18</v>
      </c>
    </row>
    <row r="160" spans="1:9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>
        <f>SUMIFS(Лист2!$C:$C, Лист2!$A:$A, $A160, Лист2!$B:$B, $B160)</f>
        <v>125</v>
      </c>
      <c r="F160" s="3">
        <f>SUMIFS(Лист2!$D:$D, Лист2!$A:$A, $A160, Лист2!$B:$B, $B160)</f>
        <v>20368</v>
      </c>
      <c r="G160" s="3">
        <f>SUMIFS(Лист2!$E:$E, Лист2!$A:$A, $A160, Лист2!$B:$B, $B160)</f>
        <v>18884</v>
      </c>
      <c r="H160">
        <f>IFERROR(Таблица1[[#This Row],[Товарооборот, руб]]/Таблица1[[#This Row],[Количество складов]],0)</f>
        <v>312087</v>
      </c>
      <c r="I160">
        <f t="shared" si="2"/>
        <v>20</v>
      </c>
    </row>
    <row r="161" spans="1:9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>
        <f>SUMIFS(Лист2!$C:$C, Лист2!$A:$A, $A161, Лист2!$B:$B, $B161)</f>
        <v>125</v>
      </c>
      <c r="F161" s="3">
        <f>SUMIFS(Лист2!$D:$D, Лист2!$A:$A, $A161, Лист2!$B:$B, $B161)</f>
        <v>24620</v>
      </c>
      <c r="G161" s="3">
        <f>SUMIFS(Лист2!$E:$E, Лист2!$A:$A, $A161, Лист2!$B:$B, $B161)</f>
        <v>22641</v>
      </c>
      <c r="H161">
        <f>IFERROR(Таблица1[[#This Row],[Товарооборот, руб]]/Таблица1[[#This Row],[Количество складов]],0)</f>
        <v>392985.44400000002</v>
      </c>
      <c r="I161">
        <f t="shared" si="2"/>
        <v>19</v>
      </c>
    </row>
    <row r="162" spans="1:9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>
        <f>SUMIFS(Лист2!$C:$C, Лист2!$A:$A, $A162, Лист2!$B:$B, $B162)</f>
        <v>125</v>
      </c>
      <c r="F162" s="3">
        <f>SUMIFS(Лист2!$D:$D, Лист2!$A:$A, $A162, Лист2!$B:$B, $B162)</f>
        <v>18014</v>
      </c>
      <c r="G162" s="3">
        <f>SUMIFS(Лист2!$E:$E, Лист2!$A:$A, $A162, Лист2!$B:$B, $B162)</f>
        <v>16675</v>
      </c>
      <c r="H162">
        <f>IFERROR(Таблица1[[#This Row],[Товарооборот, руб]]/Таблица1[[#This Row],[Количество складов]],0)</f>
        <v>270111.91200000001</v>
      </c>
      <c r="I162">
        <f t="shared" si="2"/>
        <v>19</v>
      </c>
    </row>
    <row r="163" spans="1:9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>
        <f>SUMIFS(Лист2!$C:$C, Лист2!$A:$A, $A163, Лист2!$B:$B, $B163)</f>
        <v>125</v>
      </c>
      <c r="F163" s="3">
        <f>SUMIFS(Лист2!$D:$D, Лист2!$A:$A, $A163, Лист2!$B:$B, $B163)</f>
        <v>21004</v>
      </c>
      <c r="G163" s="3">
        <f>SUMIFS(Лист2!$E:$E, Лист2!$A:$A, $A163, Лист2!$B:$B, $B163)</f>
        <v>19556</v>
      </c>
      <c r="H163">
        <f>IFERROR(Таблица1[[#This Row],[Товарооборот, руб]]/Таблица1[[#This Row],[Количество складов]],0)</f>
        <v>305531.05200000003</v>
      </c>
      <c r="I163">
        <f t="shared" si="2"/>
        <v>22</v>
      </c>
    </row>
    <row r="164" spans="1:9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>
        <f>SUMIFS(Лист2!$C:$C, Лист2!$A:$A, $A164, Лист2!$B:$B, $B164)</f>
        <v>36</v>
      </c>
      <c r="F164" s="3">
        <f>SUMIFS(Лист2!$D:$D, Лист2!$A:$A, $A164, Лист2!$B:$B, $B164)</f>
        <v>5286</v>
      </c>
      <c r="G164" s="3">
        <f>SUMIFS(Лист2!$E:$E, Лист2!$A:$A, $A164, Лист2!$B:$B, $B164)</f>
        <v>4867</v>
      </c>
      <c r="H164">
        <f>IFERROR(Таблица1[[#This Row],[Товарооборот, руб]]/Таблица1[[#This Row],[Количество складов]],0)</f>
        <v>184782.75</v>
      </c>
      <c r="I164">
        <f t="shared" si="2"/>
        <v>21</v>
      </c>
    </row>
    <row r="165" spans="1:9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>
        <f>SUMIFS(Лист2!$C:$C, Лист2!$A:$A, $A165, Лист2!$B:$B, $B165)</f>
        <v>36</v>
      </c>
      <c r="F165" s="3">
        <f>SUMIFS(Лист2!$D:$D, Лист2!$A:$A, $A165, Лист2!$B:$B, $B165)</f>
        <v>5094</v>
      </c>
      <c r="G165" s="3">
        <f>SUMIFS(Лист2!$E:$E, Лист2!$A:$A, $A165, Лист2!$B:$B, $B165)</f>
        <v>4716</v>
      </c>
      <c r="H165">
        <f>IFERROR(Таблица1[[#This Row],[Товарооборот, руб]]/Таблица1[[#This Row],[Количество складов]],0)</f>
        <v>171485.08333333334</v>
      </c>
      <c r="I165">
        <f t="shared" si="2"/>
        <v>21</v>
      </c>
    </row>
    <row r="166" spans="1:9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>
        <f>SUMIFS(Лист2!$C:$C, Лист2!$A:$A, $A166, Лист2!$B:$B, $B166)</f>
        <v>36</v>
      </c>
      <c r="F166" s="3">
        <f>SUMIFS(Лист2!$D:$D, Лист2!$A:$A, $A166, Лист2!$B:$B, $B166)</f>
        <v>4918</v>
      </c>
      <c r="G166" s="3">
        <f>SUMIFS(Лист2!$E:$E, Лист2!$A:$A, $A166, Лист2!$B:$B, $B166)</f>
        <v>4554</v>
      </c>
      <c r="H166">
        <f>IFERROR(Таблица1[[#This Row],[Товарооборот, руб]]/Таблица1[[#This Row],[Количество складов]],0)</f>
        <v>165355.625</v>
      </c>
      <c r="I166">
        <f t="shared" si="2"/>
        <v>21</v>
      </c>
    </row>
    <row r="167" spans="1:9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>
        <f>SUMIFS(Лист2!$C:$C, Лист2!$A:$A, $A167, Лист2!$B:$B, $B167)</f>
        <v>36</v>
      </c>
      <c r="F167" s="3">
        <f>SUMIFS(Лист2!$D:$D, Лист2!$A:$A, $A167, Лист2!$B:$B, $B167)</f>
        <v>5413</v>
      </c>
      <c r="G167" s="3">
        <f>SUMIFS(Лист2!$E:$E, Лист2!$A:$A, $A167, Лист2!$B:$B, $B167)</f>
        <v>4959</v>
      </c>
      <c r="H167">
        <f>IFERROR(Таблица1[[#This Row],[Товарооборот, руб]]/Таблица1[[#This Row],[Количество складов]],0)</f>
        <v>201484.08333333334</v>
      </c>
      <c r="I167">
        <f t="shared" si="2"/>
        <v>20</v>
      </c>
    </row>
    <row r="168" spans="1:9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>
        <f>SUMIFS(Лист2!$C:$C, Лист2!$A:$A, $A168, Лист2!$B:$B, $B168)</f>
        <v>36</v>
      </c>
      <c r="F168" s="3">
        <f>SUMIFS(Лист2!$D:$D, Лист2!$A:$A, $A168, Лист2!$B:$B, $B168)</f>
        <v>4508</v>
      </c>
      <c r="G168" s="3">
        <f>SUMIFS(Лист2!$E:$E, Лист2!$A:$A, $A168, Лист2!$B:$B, $B168)</f>
        <v>4149</v>
      </c>
      <c r="H168">
        <f>IFERROR(Таблица1[[#This Row],[Товарооборот, руб]]/Таблица1[[#This Row],[Количество складов]],0)</f>
        <v>154484.79166666666</v>
      </c>
      <c r="I168">
        <f t="shared" si="2"/>
        <v>18</v>
      </c>
    </row>
    <row r="169" spans="1:9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>
        <f>SUMIFS(Лист2!$C:$C, Лист2!$A:$A, $A169, Лист2!$B:$B, $B169)</f>
        <v>36</v>
      </c>
      <c r="F169" s="3">
        <f>SUMIFS(Лист2!$D:$D, Лист2!$A:$A, $A169, Лист2!$B:$B, $B169)</f>
        <v>4937</v>
      </c>
      <c r="G169" s="3">
        <f>SUMIFS(Лист2!$E:$E, Лист2!$A:$A, $A169, Лист2!$B:$B, $B169)</f>
        <v>4561</v>
      </c>
      <c r="H169">
        <f>IFERROR(Таблица1[[#This Row],[Товарооборот, руб]]/Таблица1[[#This Row],[Количество складов]],0)</f>
        <v>179290.5</v>
      </c>
      <c r="I169">
        <f t="shared" si="2"/>
        <v>18</v>
      </c>
    </row>
    <row r="170" spans="1:9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>
        <f>SUMIFS(Лист2!$C:$C, Лист2!$A:$A, $A170, Лист2!$B:$B, $B170)</f>
        <v>36</v>
      </c>
      <c r="F170" s="3">
        <f>SUMIFS(Лист2!$D:$D, Лист2!$A:$A, $A170, Лист2!$B:$B, $B170)</f>
        <v>3442</v>
      </c>
      <c r="G170" s="3">
        <f>SUMIFS(Лист2!$E:$E, Лист2!$A:$A, $A170, Лист2!$B:$B, $B170)</f>
        <v>3147</v>
      </c>
      <c r="H170">
        <f>IFERROR(Таблица1[[#This Row],[Товарооборот, руб]]/Таблица1[[#This Row],[Количество складов]],0)</f>
        <v>114395.875</v>
      </c>
      <c r="I170">
        <f t="shared" si="2"/>
        <v>19</v>
      </c>
    </row>
    <row r="171" spans="1:9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>
        <f>SUMIFS(Лист2!$C:$C, Лист2!$A:$A, $A171, Лист2!$B:$B, $B171)</f>
        <v>36</v>
      </c>
      <c r="F171" s="3">
        <f>SUMIFS(Лист2!$D:$D, Лист2!$A:$A, $A171, Лист2!$B:$B, $B171)</f>
        <v>4770</v>
      </c>
      <c r="G171" s="3">
        <f>SUMIFS(Лист2!$E:$E, Лист2!$A:$A, $A171, Лист2!$B:$B, $B171)</f>
        <v>4424</v>
      </c>
      <c r="H171">
        <f>IFERROR(Таблица1[[#This Row],[Товарооборот, руб]]/Таблица1[[#This Row],[Количество складов]],0)</f>
        <v>162916.375</v>
      </c>
      <c r="I171">
        <f t="shared" si="2"/>
        <v>22</v>
      </c>
    </row>
    <row r="172" spans="1:9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>
        <f>SUMIFS(Лист2!$C:$C, Лист2!$A:$A, $A172, Лист2!$B:$B, $B172)</f>
        <v>36</v>
      </c>
      <c r="F172" s="3">
        <f>SUMIFS(Лист2!$D:$D, Лист2!$A:$A, $A172, Лист2!$B:$B, $B172)</f>
        <v>5457</v>
      </c>
      <c r="G172" s="3">
        <f>SUMIFS(Лист2!$E:$E, Лист2!$A:$A, $A172, Лист2!$B:$B, $B172)</f>
        <v>4916</v>
      </c>
      <c r="H172">
        <f>IFERROR(Таблица1[[#This Row],[Товарооборот, руб]]/Таблица1[[#This Row],[Количество складов]],0)</f>
        <v>195339.58333333334</v>
      </c>
      <c r="I172">
        <f t="shared" si="2"/>
        <v>18</v>
      </c>
    </row>
    <row r="173" spans="1:9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>
        <f>SUMIFS(Лист2!$C:$C, Лист2!$A:$A, $A173, Лист2!$B:$B, $B173)</f>
        <v>36</v>
      </c>
      <c r="F173" s="3">
        <f>SUMIFS(Лист2!$D:$D, Лист2!$A:$A, $A173, Лист2!$B:$B, $B173)</f>
        <v>4418</v>
      </c>
      <c r="G173" s="3">
        <f>SUMIFS(Лист2!$E:$E, Лист2!$A:$A, $A173, Лист2!$B:$B, $B173)</f>
        <v>4088</v>
      </c>
      <c r="H173">
        <f>IFERROR(Таблица1[[#This Row],[Товарооборот, руб]]/Таблица1[[#This Row],[Количество складов]],0)</f>
        <v>153420.70833333334</v>
      </c>
      <c r="I173">
        <f t="shared" si="2"/>
        <v>20</v>
      </c>
    </row>
    <row r="174" spans="1:9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>
        <f>SUMIFS(Лист2!$C:$C, Лист2!$A:$A, $A174, Лист2!$B:$B, $B174)</f>
        <v>36</v>
      </c>
      <c r="F174" s="3">
        <f>SUMIFS(Лист2!$D:$D, Лист2!$A:$A, $A174, Лист2!$B:$B, $B174)</f>
        <v>4816</v>
      </c>
      <c r="G174" s="3">
        <f>SUMIFS(Лист2!$E:$E, Лист2!$A:$A, $A174, Лист2!$B:$B, $B174)</f>
        <v>4452</v>
      </c>
      <c r="H174">
        <f>IFERROR(Таблица1[[#This Row],[Товарооборот, руб]]/Таблица1[[#This Row],[Количество складов]],0)</f>
        <v>162891.25</v>
      </c>
      <c r="I174">
        <f t="shared" si="2"/>
        <v>21</v>
      </c>
    </row>
    <row r="175" spans="1:9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>
        <f>SUMIFS(Лист2!$C:$C, Лист2!$A:$A, $A175, Лист2!$B:$B, $B175)</f>
        <v>36</v>
      </c>
      <c r="F175" s="3">
        <f>SUMIFS(Лист2!$D:$D, Лист2!$A:$A, $A175, Лист2!$B:$B, $B175)</f>
        <v>5914</v>
      </c>
      <c r="G175" s="3">
        <f>SUMIFS(Лист2!$E:$E, Лист2!$A:$A, $A175, Лист2!$B:$B, $B175)</f>
        <v>5384</v>
      </c>
      <c r="H175">
        <f>IFERROR(Таблица1[[#This Row],[Товарооборот, руб]]/Таблица1[[#This Row],[Количество складов]],0)</f>
        <v>197831.83333333334</v>
      </c>
      <c r="I175">
        <f t="shared" si="2"/>
        <v>21</v>
      </c>
    </row>
    <row r="176" spans="1:9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>
        <f>SUMIFS(Лист2!$C:$C, Лист2!$A:$A, $A176, Лист2!$B:$B, $B176)</f>
        <v>36</v>
      </c>
      <c r="F176" s="3">
        <f>SUMIFS(Лист2!$D:$D, Лист2!$A:$A, $A176, Лист2!$B:$B, $B176)</f>
        <v>4575</v>
      </c>
      <c r="G176" s="3">
        <f>SUMIFS(Лист2!$E:$E, Лист2!$A:$A, $A176, Лист2!$B:$B, $B176)</f>
        <v>4206</v>
      </c>
      <c r="H176">
        <f>IFERROR(Таблица1[[#This Row],[Товарооборот, руб]]/Таблица1[[#This Row],[Количество складов]],0)</f>
        <v>160292.75</v>
      </c>
      <c r="I176">
        <f t="shared" si="2"/>
        <v>19</v>
      </c>
    </row>
    <row r="177" spans="1:9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>
        <f>SUMIFS(Лист2!$C:$C, Лист2!$A:$A, $A177, Лист2!$B:$B, $B177)</f>
        <v>36</v>
      </c>
      <c r="F177" s="3">
        <f>SUMIFS(Лист2!$D:$D, Лист2!$A:$A, $A177, Лист2!$B:$B, $B177)</f>
        <v>4923</v>
      </c>
      <c r="G177" s="3">
        <f>SUMIFS(Лист2!$E:$E, Лист2!$A:$A, $A177, Лист2!$B:$B, $B177)</f>
        <v>4560</v>
      </c>
      <c r="H177">
        <f>IFERROR(Таблица1[[#This Row],[Товарооборот, руб]]/Таблица1[[#This Row],[Количество складов]],0)</f>
        <v>174673.5</v>
      </c>
      <c r="I177">
        <f t="shared" si="2"/>
        <v>18</v>
      </c>
    </row>
    <row r="178" spans="1:9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>
        <f>SUMIFS(Лист2!$C:$C, Лист2!$A:$A, $A178, Лист2!$B:$B, $B178)</f>
        <v>36</v>
      </c>
      <c r="F178" s="3">
        <f>SUMIFS(Лист2!$D:$D, Лист2!$A:$A, $A178, Лист2!$B:$B, $B178)</f>
        <v>4967</v>
      </c>
      <c r="G178" s="3">
        <f>SUMIFS(Лист2!$E:$E, Лист2!$A:$A, $A178, Лист2!$B:$B, $B178)</f>
        <v>4583</v>
      </c>
      <c r="H178">
        <f>IFERROR(Таблица1[[#This Row],[Товарооборот, руб]]/Таблица1[[#This Row],[Количество складов]],0)</f>
        <v>175939.66666666666</v>
      </c>
      <c r="I178">
        <f t="shared" si="2"/>
        <v>20</v>
      </c>
    </row>
    <row r="179" spans="1:9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>
        <f>SUMIFS(Лист2!$C:$C, Лист2!$A:$A, $A179, Лист2!$B:$B, $B179)</f>
        <v>124</v>
      </c>
      <c r="F179" s="3">
        <f>SUMIFS(Лист2!$D:$D, Лист2!$A:$A, $A179, Лист2!$B:$B, $B179)</f>
        <v>21392</v>
      </c>
      <c r="G179" s="3">
        <f>SUMIFS(Лист2!$E:$E, Лист2!$A:$A, $A179, Лист2!$B:$B, $B179)</f>
        <v>19869</v>
      </c>
      <c r="H179">
        <f>IFERROR(Таблица1[[#This Row],[Товарооборот, руб]]/Таблица1[[#This Row],[Количество складов]],0)</f>
        <v>317582.08064516127</v>
      </c>
      <c r="I179">
        <f t="shared" si="2"/>
        <v>23</v>
      </c>
    </row>
    <row r="180" spans="1:9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>
        <f>SUMIFS(Лист2!$C:$C, Лист2!$A:$A, $A180, Лист2!$B:$B, $B180)</f>
        <v>36</v>
      </c>
      <c r="F180" s="3">
        <f>SUMIFS(Лист2!$D:$D, Лист2!$A:$A, $A180, Лист2!$B:$B, $B180)</f>
        <v>4751</v>
      </c>
      <c r="G180" s="3">
        <f>SUMIFS(Лист2!$E:$E, Лист2!$A:$A, $A180, Лист2!$B:$B, $B180)</f>
        <v>4370</v>
      </c>
      <c r="H180">
        <f>IFERROR(Таблица1[[#This Row],[Товарооборот, руб]]/Таблица1[[#This Row],[Количество складов]],0)</f>
        <v>172814.45833333334</v>
      </c>
      <c r="I180">
        <f t="shared" si="2"/>
        <v>19</v>
      </c>
    </row>
    <row r="181" spans="1:9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>
        <f>SUMIFS(Лист2!$C:$C, Лист2!$A:$A, $A181, Лист2!$B:$B, $B181)</f>
        <v>124</v>
      </c>
      <c r="F181" s="3">
        <f>SUMIFS(Лист2!$D:$D, Лист2!$A:$A, $A181, Лист2!$B:$B, $B181)</f>
        <v>24325</v>
      </c>
      <c r="G181" s="3">
        <f>SUMIFS(Лист2!$E:$E, Лист2!$A:$A, $A181, Лист2!$B:$B, $B181)</f>
        <v>22469</v>
      </c>
      <c r="H181">
        <f>IFERROR(Таблица1[[#This Row],[Товарооборот, руб]]/Таблица1[[#This Row],[Количество складов]],0)</f>
        <v>373958.90322580643</v>
      </c>
      <c r="I181">
        <f t="shared" si="2"/>
        <v>23</v>
      </c>
    </row>
    <row r="182" spans="1:9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>
        <f>SUMIFS(Лист2!$C:$C, Лист2!$A:$A, $A182, Лист2!$B:$B, $B182)</f>
        <v>36</v>
      </c>
      <c r="F182" s="3">
        <f>SUMIFS(Лист2!$D:$D, Лист2!$A:$A, $A182, Лист2!$B:$B, $B182)</f>
        <v>4384</v>
      </c>
      <c r="G182" s="3">
        <f>SUMIFS(Лист2!$E:$E, Лист2!$A:$A, $A182, Лист2!$B:$B, $B182)</f>
        <v>4025</v>
      </c>
      <c r="H182">
        <f>IFERROR(Таблица1[[#This Row],[Товарооборот, руб]]/Таблица1[[#This Row],[Количество складов]],0)</f>
        <v>151503.375</v>
      </c>
      <c r="I182">
        <f t="shared" si="2"/>
        <v>19</v>
      </c>
    </row>
    <row r="183" spans="1:9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>
        <f>SUMIFS(Лист2!$C:$C, Лист2!$A:$A, $A183, Лист2!$B:$B, $B183)</f>
        <v>36</v>
      </c>
      <c r="F183" s="3">
        <f>SUMIFS(Лист2!$D:$D, Лист2!$A:$A, $A183, Лист2!$B:$B, $B183)</f>
        <v>5651</v>
      </c>
      <c r="G183" s="3">
        <f>SUMIFS(Лист2!$E:$E, Лист2!$A:$A, $A183, Лист2!$B:$B, $B183)</f>
        <v>5212</v>
      </c>
      <c r="H183">
        <f>IFERROR(Таблица1[[#This Row],[Товарооборот, руб]]/Таблица1[[#This Row],[Количество складов]],0)</f>
        <v>199253.25</v>
      </c>
      <c r="I183">
        <f t="shared" si="2"/>
        <v>22</v>
      </c>
    </row>
    <row r="184" spans="1:9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>
        <f>SUMIFS(Лист2!$C:$C, Лист2!$A:$A, $A184, Лист2!$B:$B, $B184)</f>
        <v>124</v>
      </c>
      <c r="F184" s="3">
        <f>SUMIFS(Лист2!$D:$D, Лист2!$A:$A, $A184, Лист2!$B:$B, $B184)</f>
        <v>20868</v>
      </c>
      <c r="G184" s="3">
        <f>SUMIFS(Лист2!$E:$E, Лист2!$A:$A, $A184, Лист2!$B:$B, $B184)</f>
        <v>19342</v>
      </c>
      <c r="H184">
        <f>IFERROR(Таблица1[[#This Row],[Товарооборот, руб]]/Таблица1[[#This Row],[Количество складов]],0)</f>
        <v>306029.74596774194</v>
      </c>
      <c r="I184">
        <f t="shared" si="2"/>
        <v>22</v>
      </c>
    </row>
    <row r="185" spans="1:9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>
        <f>SUMIFS(Лист2!$C:$C, Лист2!$A:$A, $A185, Лист2!$B:$B, $B185)</f>
        <v>36</v>
      </c>
      <c r="F185" s="3">
        <f>SUMIFS(Лист2!$D:$D, Лист2!$A:$A, $A185, Лист2!$B:$B, $B185)</f>
        <v>4641</v>
      </c>
      <c r="G185" s="3">
        <f>SUMIFS(Лист2!$E:$E, Лист2!$A:$A, $A185, Лист2!$B:$B, $B185)</f>
        <v>4274</v>
      </c>
      <c r="H185">
        <f>IFERROR(Таблица1[[#This Row],[Товарооборот, руб]]/Таблица1[[#This Row],[Количество складов]],0)</f>
        <v>158462.5</v>
      </c>
      <c r="I185">
        <f t="shared" si="2"/>
        <v>21</v>
      </c>
    </row>
    <row r="186" spans="1:9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>
        <f>SUMIFS(Лист2!$C:$C, Лист2!$A:$A, $A186, Лист2!$B:$B, $B186)</f>
        <v>36</v>
      </c>
      <c r="F186" s="3">
        <f>SUMIFS(Лист2!$D:$D, Лист2!$A:$A, $A186, Лист2!$B:$B, $B186)</f>
        <v>5143</v>
      </c>
      <c r="G186" s="3">
        <f>SUMIFS(Лист2!$E:$E, Лист2!$A:$A, $A186, Лист2!$B:$B, $B186)</f>
        <v>4715</v>
      </c>
      <c r="H186">
        <f>IFERROR(Таблица1[[#This Row],[Товарооборот, руб]]/Таблица1[[#This Row],[Количество складов]],0)</f>
        <v>189433.16666666666</v>
      </c>
      <c r="I186">
        <f t="shared" si="2"/>
        <v>18</v>
      </c>
    </row>
    <row r="187" spans="1:9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>
        <f>SUMIFS(Лист2!$C:$C, Лист2!$A:$A, $A187, Лист2!$B:$B, $B187)</f>
        <v>36</v>
      </c>
      <c r="F187" s="3">
        <f>SUMIFS(Лист2!$D:$D, Лист2!$A:$A, $A187, Лист2!$B:$B, $B187)</f>
        <v>5746</v>
      </c>
      <c r="G187" s="3">
        <f>SUMIFS(Лист2!$E:$E, Лист2!$A:$A, $A187, Лист2!$B:$B, $B187)</f>
        <v>5277</v>
      </c>
      <c r="H187">
        <f>IFERROR(Таблица1[[#This Row],[Товарооборот, руб]]/Таблица1[[#This Row],[Количество складов]],0)</f>
        <v>214613.04166666666</v>
      </c>
      <c r="I187">
        <f t="shared" si="2"/>
        <v>20</v>
      </c>
    </row>
    <row r="188" spans="1:9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>
        <f>SUMIFS(Лист2!$C:$C, Лист2!$A:$A, $A188, Лист2!$B:$B, $B188)</f>
        <v>36</v>
      </c>
      <c r="F188" s="3">
        <f>SUMIFS(Лист2!$D:$D, Лист2!$A:$A, $A188, Лист2!$B:$B, $B188)</f>
        <v>4199</v>
      </c>
      <c r="G188" s="3">
        <f>SUMIFS(Лист2!$E:$E, Лист2!$A:$A, $A188, Лист2!$B:$B, $B188)</f>
        <v>3867</v>
      </c>
      <c r="H188">
        <f>IFERROR(Таблица1[[#This Row],[Товарооборот, руб]]/Таблица1[[#This Row],[Количество складов]],0)</f>
        <v>149047.45833333334</v>
      </c>
      <c r="I188">
        <f t="shared" si="2"/>
        <v>19</v>
      </c>
    </row>
    <row r="189" spans="1:9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>
        <f>SUMIFS(Лист2!$C:$C, Лист2!$A:$A, $A189, Лист2!$B:$B, $B189)</f>
        <v>36</v>
      </c>
      <c r="F189" s="3">
        <f>SUMIFS(Лист2!$D:$D, Лист2!$A:$A, $A189, Лист2!$B:$B, $B189)</f>
        <v>4826</v>
      </c>
      <c r="G189" s="3">
        <f>SUMIFS(Лист2!$E:$E, Лист2!$A:$A, $A189, Лист2!$B:$B, $B189)</f>
        <v>4426</v>
      </c>
      <c r="H189">
        <f>IFERROR(Таблица1[[#This Row],[Товарооборот, руб]]/Таблица1[[#This Row],[Количество складов]],0)</f>
        <v>171551.04166666666</v>
      </c>
      <c r="I189">
        <f t="shared" si="2"/>
        <v>19</v>
      </c>
    </row>
    <row r="190" spans="1:9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>
        <f>SUMIFS(Лист2!$C:$C, Лист2!$A:$A, $A190, Лист2!$B:$B, $B190)</f>
        <v>36</v>
      </c>
      <c r="F190" s="3">
        <f>SUMIFS(Лист2!$D:$D, Лист2!$A:$A, $A190, Лист2!$B:$B, $B190)</f>
        <v>4915</v>
      </c>
      <c r="G190" s="3">
        <f>SUMIFS(Лист2!$E:$E, Лист2!$A:$A, $A190, Лист2!$B:$B, $B190)</f>
        <v>4562</v>
      </c>
      <c r="H190">
        <f>IFERROR(Таблица1[[#This Row],[Товарооборот, руб]]/Таблица1[[#This Row],[Количество складов]],0)</f>
        <v>169395.45833333334</v>
      </c>
      <c r="I190">
        <f t="shared" si="2"/>
        <v>22</v>
      </c>
    </row>
    <row r="191" spans="1:9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>
        <f>SUMIFS(Лист2!$C:$C, Лист2!$A:$A, $A191, Лист2!$B:$B, $B191)</f>
        <v>21</v>
      </c>
      <c r="F191" s="3">
        <f>SUMIFS(Лист2!$D:$D, Лист2!$A:$A, $A191, Лист2!$B:$B, $B191)</f>
        <v>2427</v>
      </c>
      <c r="G191" s="3">
        <f>SUMIFS(Лист2!$E:$E, Лист2!$A:$A, $A191, Лист2!$B:$B, $B191)</f>
        <v>2213</v>
      </c>
      <c r="H191">
        <f>IFERROR(Таблица1[[#This Row],[Товарооборот, руб]]/Таблица1[[#This Row],[Количество складов]],0)</f>
        <v>191673.71428571429</v>
      </c>
      <c r="I191">
        <f t="shared" si="2"/>
        <v>21</v>
      </c>
    </row>
    <row r="192" spans="1:9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>
        <f>SUMIFS(Лист2!$C:$C, Лист2!$A:$A, $A192, Лист2!$B:$B, $B192)</f>
        <v>21</v>
      </c>
      <c r="F192" s="3">
        <f>SUMIFS(Лист2!$D:$D, Лист2!$A:$A, $A192, Лист2!$B:$B, $B192)</f>
        <v>2245</v>
      </c>
      <c r="G192" s="3">
        <f>SUMIFS(Лист2!$E:$E, Лист2!$A:$A, $A192, Лист2!$B:$B, $B192)</f>
        <v>2053</v>
      </c>
      <c r="H192">
        <f>IFERROR(Таблица1[[#This Row],[Товарооборот, руб]]/Таблица1[[#This Row],[Количество складов]],0)</f>
        <v>169187.5</v>
      </c>
      <c r="I192">
        <f t="shared" si="2"/>
        <v>21</v>
      </c>
    </row>
    <row r="193" spans="1:9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>
        <f>SUMIFS(Лист2!$C:$C, Лист2!$A:$A, $A193, Лист2!$B:$B, $B193)</f>
        <v>21</v>
      </c>
      <c r="F193" s="3">
        <f>SUMIFS(Лист2!$D:$D, Лист2!$A:$A, $A193, Лист2!$B:$B, $B193)</f>
        <v>2054</v>
      </c>
      <c r="G193" s="3">
        <f>SUMIFS(Лист2!$E:$E, Лист2!$A:$A, $A193, Лист2!$B:$B, $B193)</f>
        <v>1883</v>
      </c>
      <c r="H193">
        <f>IFERROR(Таблица1[[#This Row],[Товарооборот, руб]]/Таблица1[[#This Row],[Количество складов]],0)</f>
        <v>151959.78571428571</v>
      </c>
      <c r="I193">
        <f t="shared" si="2"/>
        <v>21</v>
      </c>
    </row>
    <row r="194" spans="1:9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>
        <f>SUMIFS(Лист2!$C:$C, Лист2!$A:$A, $A194, Лист2!$B:$B, $B194)</f>
        <v>21</v>
      </c>
      <c r="F194" s="3">
        <f>SUMIFS(Лист2!$D:$D, Лист2!$A:$A, $A194, Лист2!$B:$B, $B194)</f>
        <v>1891</v>
      </c>
      <c r="G194" s="3">
        <f>SUMIFS(Лист2!$E:$E, Лист2!$A:$A, $A194, Лист2!$B:$B, $B194)</f>
        <v>1709</v>
      </c>
      <c r="H194">
        <f>IFERROR(Таблица1[[#This Row],[Товарооборот, руб]]/Таблица1[[#This Row],[Количество складов]],0)</f>
        <v>146899.64285714287</v>
      </c>
      <c r="I194">
        <f t="shared" ref="I194:I257" si="3">INT((A194-DATE(YEAR(A194),1,1)+WEEKDAY(A194,2)+6)/7)</f>
        <v>20</v>
      </c>
    </row>
    <row r="195" spans="1:9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>
        <f>SUMIFS(Лист2!$C:$C, Лист2!$A:$A, $A195, Лист2!$B:$B, $B195)</f>
        <v>20</v>
      </c>
      <c r="F195" s="3">
        <f>SUMIFS(Лист2!$D:$D, Лист2!$A:$A, $A195, Лист2!$B:$B, $B195)</f>
        <v>1804</v>
      </c>
      <c r="G195" s="3">
        <f>SUMIFS(Лист2!$E:$E, Лист2!$A:$A, $A195, Лист2!$B:$B, $B195)</f>
        <v>1638</v>
      </c>
      <c r="H195">
        <f>IFERROR(Таблица1[[#This Row],[Товарооборот, руб]]/Таблица1[[#This Row],[Количество складов]],0)</f>
        <v>140892.67499999999</v>
      </c>
      <c r="I195">
        <f t="shared" si="3"/>
        <v>18</v>
      </c>
    </row>
    <row r="196" spans="1:9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>
        <f>SUMIFS(Лист2!$C:$C, Лист2!$A:$A, $A196, Лист2!$B:$B, $B196)</f>
        <v>19</v>
      </c>
      <c r="F196" s="3">
        <f>SUMIFS(Лист2!$D:$D, Лист2!$A:$A, $A196, Лист2!$B:$B, $B196)</f>
        <v>1676</v>
      </c>
      <c r="G196" s="3">
        <f>SUMIFS(Лист2!$E:$E, Лист2!$A:$A, $A196, Лист2!$B:$B, $B196)</f>
        <v>1516</v>
      </c>
      <c r="H196">
        <f>IFERROR(Таблица1[[#This Row],[Товарооборот, руб]]/Таблица1[[#This Row],[Количество складов]],0)</f>
        <v>138294.47368421053</v>
      </c>
      <c r="I196">
        <f t="shared" si="3"/>
        <v>18</v>
      </c>
    </row>
    <row r="197" spans="1:9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>
        <f>SUMIFS(Лист2!$C:$C, Лист2!$A:$A, $A197, Лист2!$B:$B, $B197)</f>
        <v>20</v>
      </c>
      <c r="F197" s="3">
        <f>SUMIFS(Лист2!$D:$D, Лист2!$A:$A, $A197, Лист2!$B:$B, $B197)</f>
        <v>1613</v>
      </c>
      <c r="G197" s="3">
        <f>SUMIFS(Лист2!$E:$E, Лист2!$A:$A, $A197, Лист2!$B:$B, $B197)</f>
        <v>1457</v>
      </c>
      <c r="H197">
        <f>IFERROR(Таблица1[[#This Row],[Товарооборот, руб]]/Таблица1[[#This Row],[Количество складов]],0)</f>
        <v>123523.27499999999</v>
      </c>
      <c r="I197">
        <f t="shared" si="3"/>
        <v>19</v>
      </c>
    </row>
    <row r="198" spans="1:9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>
        <f>SUMIFS(Лист2!$C:$C, Лист2!$A:$A, $A198, Лист2!$B:$B, $B198)</f>
        <v>21</v>
      </c>
      <c r="F198" s="3">
        <f>SUMIFS(Лист2!$D:$D, Лист2!$A:$A, $A198, Лист2!$B:$B, $B198)</f>
        <v>2418</v>
      </c>
      <c r="G198" s="3">
        <f>SUMIFS(Лист2!$E:$E, Лист2!$A:$A, $A198, Лист2!$B:$B, $B198)</f>
        <v>2215</v>
      </c>
      <c r="H198">
        <f>IFERROR(Таблица1[[#This Row],[Товарооборот, руб]]/Таблица1[[#This Row],[Количество складов]],0)</f>
        <v>176205.28571428571</v>
      </c>
      <c r="I198">
        <f t="shared" si="3"/>
        <v>22</v>
      </c>
    </row>
    <row r="199" spans="1:9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>
        <f>SUMIFS(Лист2!$C:$C, Лист2!$A:$A, $A199, Лист2!$B:$B, $B199)</f>
        <v>20</v>
      </c>
      <c r="F199" s="3">
        <f>SUMIFS(Лист2!$D:$D, Лист2!$A:$A, $A199, Лист2!$B:$B, $B199)</f>
        <v>2468</v>
      </c>
      <c r="G199" s="3">
        <f>SUMIFS(Лист2!$E:$E, Лист2!$A:$A, $A199, Лист2!$B:$B, $B199)</f>
        <v>2221</v>
      </c>
      <c r="H199">
        <f>IFERROR(Таблица1[[#This Row],[Товарооборот, руб]]/Таблица1[[#This Row],[Количество складов]],0)</f>
        <v>214662.07500000001</v>
      </c>
      <c r="I199">
        <f t="shared" si="3"/>
        <v>18</v>
      </c>
    </row>
    <row r="200" spans="1:9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>
        <f>SUMIFS(Лист2!$C:$C, Лист2!$A:$A, $A200, Лист2!$B:$B, $B200)</f>
        <v>21</v>
      </c>
      <c r="F200" s="3">
        <f>SUMIFS(Лист2!$D:$D, Лист2!$A:$A, $A200, Лист2!$B:$B, $B200)</f>
        <v>1926</v>
      </c>
      <c r="G200" s="3">
        <f>SUMIFS(Лист2!$E:$E, Лист2!$A:$A, $A200, Лист2!$B:$B, $B200)</f>
        <v>1745</v>
      </c>
      <c r="H200">
        <f>IFERROR(Таблица1[[#This Row],[Товарооборот, руб]]/Таблица1[[#This Row],[Количество складов]],0)</f>
        <v>146695.92857142858</v>
      </c>
      <c r="I200">
        <f t="shared" si="3"/>
        <v>20</v>
      </c>
    </row>
    <row r="201" spans="1:9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>
        <f>SUMIFS(Лист2!$C:$C, Лист2!$A:$A, $A201, Лист2!$B:$B, $B201)</f>
        <v>21</v>
      </c>
      <c r="F201" s="3">
        <f>SUMIFS(Лист2!$D:$D, Лист2!$A:$A, $A201, Лист2!$B:$B, $B201)</f>
        <v>2335</v>
      </c>
      <c r="G201" s="3">
        <f>SUMIFS(Лист2!$E:$E, Лист2!$A:$A, $A201, Лист2!$B:$B, $B201)</f>
        <v>2126</v>
      </c>
      <c r="H201">
        <f>IFERROR(Таблица1[[#This Row],[Товарооборот, руб]]/Таблица1[[#This Row],[Количество складов]],0)</f>
        <v>181447.35714285713</v>
      </c>
      <c r="I201">
        <f t="shared" si="3"/>
        <v>21</v>
      </c>
    </row>
    <row r="202" spans="1:9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>
        <f>SUMIFS(Лист2!$C:$C, Лист2!$A:$A, $A202, Лист2!$B:$B, $B202)</f>
        <v>21</v>
      </c>
      <c r="F202" s="3">
        <f>SUMIFS(Лист2!$D:$D, Лист2!$A:$A, $A202, Лист2!$B:$B, $B202)</f>
        <v>2410</v>
      </c>
      <c r="G202" s="3">
        <f>SUMIFS(Лист2!$E:$E, Лист2!$A:$A, $A202, Лист2!$B:$B, $B202)</f>
        <v>2202</v>
      </c>
      <c r="H202">
        <f>IFERROR(Таблица1[[#This Row],[Товарооборот, руб]]/Таблица1[[#This Row],[Количество складов]],0)</f>
        <v>186618.42857142858</v>
      </c>
      <c r="I202">
        <f t="shared" si="3"/>
        <v>21</v>
      </c>
    </row>
    <row r="203" spans="1:9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>
        <f>SUMIFS(Лист2!$C:$C, Лист2!$A:$A, $A203, Лист2!$B:$B, $B203)</f>
        <v>20</v>
      </c>
      <c r="F203" s="3">
        <f>SUMIFS(Лист2!$D:$D, Лист2!$A:$A, $A203, Лист2!$B:$B, $B203)</f>
        <v>1757</v>
      </c>
      <c r="G203" s="3">
        <f>SUMIFS(Лист2!$E:$E, Лист2!$A:$A, $A203, Лист2!$B:$B, $B203)</f>
        <v>1596</v>
      </c>
      <c r="H203">
        <f>IFERROR(Таблица1[[#This Row],[Товарооборот, руб]]/Таблица1[[#This Row],[Количество складов]],0)</f>
        <v>132434.4</v>
      </c>
      <c r="I203">
        <f t="shared" si="3"/>
        <v>19</v>
      </c>
    </row>
    <row r="204" spans="1:9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>
        <f>SUMIFS(Лист2!$C:$C, Лист2!$A:$A, $A204, Лист2!$B:$B, $B204)</f>
        <v>19</v>
      </c>
      <c r="F204" s="3">
        <f>SUMIFS(Лист2!$D:$D, Лист2!$A:$A, $A204, Лист2!$B:$B, $B204)</f>
        <v>1846</v>
      </c>
      <c r="G204" s="3">
        <f>SUMIFS(Лист2!$E:$E, Лист2!$A:$A, $A204, Лист2!$B:$B, $B204)</f>
        <v>1681</v>
      </c>
      <c r="H204">
        <f>IFERROR(Таблица1[[#This Row],[Товарооборот, руб]]/Таблица1[[#This Row],[Количество складов]],0)</f>
        <v>150715.81578947368</v>
      </c>
      <c r="I204">
        <f t="shared" si="3"/>
        <v>18</v>
      </c>
    </row>
    <row r="205" spans="1:9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>
        <f>SUMIFS(Лист2!$C:$C, Лист2!$A:$A, $A205, Лист2!$B:$B, $B205)</f>
        <v>21</v>
      </c>
      <c r="F205" s="3">
        <f>SUMIFS(Лист2!$D:$D, Лист2!$A:$A, $A205, Лист2!$B:$B, $B205)</f>
        <v>2061</v>
      </c>
      <c r="G205" s="3">
        <f>SUMIFS(Лист2!$E:$E, Лист2!$A:$A, $A205, Лист2!$B:$B, $B205)</f>
        <v>1876</v>
      </c>
      <c r="H205">
        <f>IFERROR(Таблица1[[#This Row],[Товарооборот, руб]]/Таблица1[[#This Row],[Количество складов]],0)</f>
        <v>156574.71428571429</v>
      </c>
      <c r="I205">
        <f t="shared" si="3"/>
        <v>20</v>
      </c>
    </row>
    <row r="206" spans="1:9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>
        <f>SUMIFS(Лист2!$C:$C, Лист2!$A:$A, $A206, Лист2!$B:$B, $B206)</f>
        <v>37</v>
      </c>
      <c r="F206" s="3">
        <f>SUMIFS(Лист2!$D:$D, Лист2!$A:$A, $A206, Лист2!$B:$B, $B206)</f>
        <v>5215</v>
      </c>
      <c r="G206" s="3">
        <f>SUMIFS(Лист2!$E:$E, Лист2!$A:$A, $A206, Лист2!$B:$B, $B206)</f>
        <v>4848</v>
      </c>
      <c r="H206">
        <f>IFERROR(Таблица1[[#This Row],[Товарооборот, руб]]/Таблица1[[#This Row],[Количество складов]],0)</f>
        <v>175698.60810810811</v>
      </c>
      <c r="I206">
        <f t="shared" si="3"/>
        <v>23</v>
      </c>
    </row>
    <row r="207" spans="1:9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>
        <f>SUMIFS(Лист2!$C:$C, Лист2!$A:$A, $A207, Лист2!$B:$B, $B207)</f>
        <v>20</v>
      </c>
      <c r="F207" s="3">
        <f>SUMIFS(Лист2!$D:$D, Лист2!$A:$A, $A207, Лист2!$B:$B, $B207)</f>
        <v>1716</v>
      </c>
      <c r="G207" s="3">
        <f>SUMIFS(Лист2!$E:$E, Лист2!$A:$A, $A207, Лист2!$B:$B, $B207)</f>
        <v>1561</v>
      </c>
      <c r="H207">
        <f>IFERROR(Таблица1[[#This Row],[Товарооборот, руб]]/Таблица1[[#This Row],[Количество складов]],0)</f>
        <v>136000.125</v>
      </c>
      <c r="I207">
        <f t="shared" si="3"/>
        <v>19</v>
      </c>
    </row>
    <row r="208" spans="1:9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>
        <f>SUMIFS(Лист2!$C:$C, Лист2!$A:$A, $A208, Лист2!$B:$B, $B208)</f>
        <v>37</v>
      </c>
      <c r="F208" s="3">
        <f>SUMIFS(Лист2!$D:$D, Лист2!$A:$A, $A208, Лист2!$B:$B, $B208)</f>
        <v>6645</v>
      </c>
      <c r="G208" s="3">
        <f>SUMIFS(Лист2!$E:$E, Лист2!$A:$A, $A208, Лист2!$B:$B, $B208)</f>
        <v>6122</v>
      </c>
      <c r="H208">
        <f>IFERROR(Таблица1[[#This Row],[Товарооборот, руб]]/Таблица1[[#This Row],[Количество складов]],0)</f>
        <v>245902.33783783784</v>
      </c>
      <c r="I208">
        <f t="shared" si="3"/>
        <v>23</v>
      </c>
    </row>
    <row r="209" spans="1:9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>
        <f>SUMIFS(Лист2!$C:$C, Лист2!$A:$A, $A209, Лист2!$B:$B, $B209)</f>
        <v>20</v>
      </c>
      <c r="F209" s="3">
        <f>SUMIFS(Лист2!$D:$D, Лист2!$A:$A, $A209, Лист2!$B:$B, $B209)</f>
        <v>1747</v>
      </c>
      <c r="G209" s="3">
        <f>SUMIFS(Лист2!$E:$E, Лист2!$A:$A, $A209, Лист2!$B:$B, $B209)</f>
        <v>1570</v>
      </c>
      <c r="H209">
        <f>IFERROR(Таблица1[[#This Row],[Товарооборот, руб]]/Таблица1[[#This Row],[Количество складов]],0)</f>
        <v>136906.35</v>
      </c>
      <c r="I209">
        <f t="shared" si="3"/>
        <v>19</v>
      </c>
    </row>
    <row r="210" spans="1:9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>
        <f>SUMIFS(Лист2!$C:$C, Лист2!$A:$A, $A210, Лист2!$B:$B, $B210)</f>
        <v>21</v>
      </c>
      <c r="F210" s="3">
        <f>SUMIFS(Лист2!$D:$D, Лист2!$A:$A, $A210, Лист2!$B:$B, $B210)</f>
        <v>2460</v>
      </c>
      <c r="G210" s="3">
        <f>SUMIFS(Лист2!$E:$E, Лист2!$A:$A, $A210, Лист2!$B:$B, $B210)</f>
        <v>2226</v>
      </c>
      <c r="H210">
        <f>IFERROR(Таблица1[[#This Row],[Товарооборот, руб]]/Таблица1[[#This Row],[Количество складов]],0)</f>
        <v>184915</v>
      </c>
      <c r="I210">
        <f t="shared" si="3"/>
        <v>22</v>
      </c>
    </row>
    <row r="211" spans="1:9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>
        <f>SUMIFS(Лист2!$C:$C, Лист2!$A:$A, $A211, Лист2!$B:$B, $B211)</f>
        <v>37</v>
      </c>
      <c r="F211" s="3">
        <f>SUMIFS(Лист2!$D:$D, Лист2!$A:$A, $A211, Лист2!$B:$B, $B211)</f>
        <v>4840</v>
      </c>
      <c r="G211" s="3">
        <f>SUMIFS(Лист2!$E:$E, Лист2!$A:$A, $A211, Лист2!$B:$B, $B211)</f>
        <v>4475</v>
      </c>
      <c r="H211">
        <f>IFERROR(Таблица1[[#This Row],[Товарооборот, руб]]/Таблица1[[#This Row],[Количество складов]],0)</f>
        <v>164917.05405405405</v>
      </c>
      <c r="I211">
        <f t="shared" si="3"/>
        <v>22</v>
      </c>
    </row>
    <row r="212" spans="1:9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>
        <f>SUMIFS(Лист2!$C:$C, Лист2!$A:$A, $A212, Лист2!$B:$B, $B212)</f>
        <v>21</v>
      </c>
      <c r="F212" s="3">
        <f>SUMIFS(Лист2!$D:$D, Лист2!$A:$A, $A212, Лист2!$B:$B, $B212)</f>
        <v>2330</v>
      </c>
      <c r="G212" s="3">
        <f>SUMIFS(Лист2!$E:$E, Лист2!$A:$A, $A212, Лист2!$B:$B, $B212)</f>
        <v>2142</v>
      </c>
      <c r="H212">
        <f>IFERROR(Таблица1[[#This Row],[Товарооборот, руб]]/Таблица1[[#This Row],[Количество складов]],0)</f>
        <v>169602.64285714287</v>
      </c>
      <c r="I212">
        <f t="shared" si="3"/>
        <v>21</v>
      </c>
    </row>
    <row r="213" spans="1:9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>
        <f>SUMIFS(Лист2!$C:$C, Лист2!$A:$A, $A213, Лист2!$B:$B, $B213)</f>
        <v>20</v>
      </c>
      <c r="F213" s="3">
        <f>SUMIFS(Лист2!$D:$D, Лист2!$A:$A, $A213, Лист2!$B:$B, $B213)</f>
        <v>1756</v>
      </c>
      <c r="G213" s="3">
        <f>SUMIFS(Лист2!$E:$E, Лист2!$A:$A, $A213, Лист2!$B:$B, $B213)</f>
        <v>1586</v>
      </c>
      <c r="H213">
        <f>IFERROR(Таблица1[[#This Row],[Товарооборот, руб]]/Таблица1[[#This Row],[Количество складов]],0)</f>
        <v>142665.52499999999</v>
      </c>
      <c r="I213">
        <f t="shared" si="3"/>
        <v>18</v>
      </c>
    </row>
    <row r="214" spans="1:9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>
        <f>SUMIFS(Лист2!$C:$C, Лист2!$A:$A, $A214, Лист2!$B:$B, $B214)</f>
        <v>21</v>
      </c>
      <c r="F214" s="3">
        <f>SUMIFS(Лист2!$D:$D, Лист2!$A:$A, $A214, Лист2!$B:$B, $B214)</f>
        <v>2120</v>
      </c>
      <c r="G214" s="3">
        <f>SUMIFS(Лист2!$E:$E, Лист2!$A:$A, $A214, Лист2!$B:$B, $B214)</f>
        <v>1921</v>
      </c>
      <c r="H214">
        <f>IFERROR(Таблица1[[#This Row],[Товарооборот, руб]]/Таблица1[[#This Row],[Количество складов]],0)</f>
        <v>169004.64285714287</v>
      </c>
      <c r="I214">
        <f t="shared" si="3"/>
        <v>20</v>
      </c>
    </row>
    <row r="215" spans="1:9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>
        <f>SUMIFS(Лист2!$C:$C, Лист2!$A:$A, $A215, Лист2!$B:$B, $B215)</f>
        <v>21</v>
      </c>
      <c r="F215" s="3">
        <f>SUMIFS(Лист2!$D:$D, Лист2!$A:$A, $A215, Лист2!$B:$B, $B215)</f>
        <v>1957</v>
      </c>
      <c r="G215" s="3">
        <f>SUMIFS(Лист2!$E:$E, Лист2!$A:$A, $A215, Лист2!$B:$B, $B215)</f>
        <v>1755</v>
      </c>
      <c r="H215">
        <f>IFERROR(Таблица1[[#This Row],[Товарооборот, руб]]/Таблица1[[#This Row],[Количество складов]],0)</f>
        <v>152445.64285714287</v>
      </c>
      <c r="I215">
        <f t="shared" si="3"/>
        <v>19</v>
      </c>
    </row>
    <row r="216" spans="1:9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>
        <f>SUMIFS(Лист2!$C:$C, Лист2!$A:$A, $A216, Лист2!$B:$B, $B216)</f>
        <v>21</v>
      </c>
      <c r="F216" s="3">
        <f>SUMIFS(Лист2!$D:$D, Лист2!$A:$A, $A216, Лист2!$B:$B, $B216)</f>
        <v>1879</v>
      </c>
      <c r="G216" s="3">
        <f>SUMIFS(Лист2!$E:$E, Лист2!$A:$A, $A216, Лист2!$B:$B, $B216)</f>
        <v>1695</v>
      </c>
      <c r="H216">
        <f>IFERROR(Таблица1[[#This Row],[Товарооборот, руб]]/Таблица1[[#This Row],[Количество складов]],0)</f>
        <v>139738.28571428571</v>
      </c>
      <c r="I216">
        <f t="shared" si="3"/>
        <v>19</v>
      </c>
    </row>
    <row r="217" spans="1:9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>
        <f>SUMIFS(Лист2!$C:$C, Лист2!$A:$A, $A217, Лист2!$B:$B, $B217)</f>
        <v>21</v>
      </c>
      <c r="F217" s="3">
        <f>SUMIFS(Лист2!$D:$D, Лист2!$A:$A, $A217, Лист2!$B:$B, $B217)</f>
        <v>2254</v>
      </c>
      <c r="G217" s="3">
        <f>SUMIFS(Лист2!$E:$E, Лист2!$A:$A, $A217, Лист2!$B:$B, $B217)</f>
        <v>2061</v>
      </c>
      <c r="H217">
        <f>IFERROR(Таблица1[[#This Row],[Товарооборот, руб]]/Таблица1[[#This Row],[Количество складов]],0)</f>
        <v>164252.5</v>
      </c>
      <c r="I217">
        <f t="shared" si="3"/>
        <v>22</v>
      </c>
    </row>
    <row r="218" spans="1:9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>
        <f>SUMIFS(Лист2!$C:$C, Лист2!$A:$A, $A218, Лист2!$B:$B, $B218)</f>
        <v>23</v>
      </c>
      <c r="F218" s="3">
        <f>SUMIFS(Лист2!$D:$D, Лист2!$A:$A, $A218, Лист2!$B:$B, $B218)</f>
        <v>2522</v>
      </c>
      <c r="G218" s="3">
        <f>SUMIFS(Лист2!$E:$E, Лист2!$A:$A, $A218, Лист2!$B:$B, $B218)</f>
        <v>2295</v>
      </c>
      <c r="H218">
        <f>IFERROR(Таблица1[[#This Row],[Товарооборот, руб]]/Таблица1[[#This Row],[Количество складов]],0)</f>
        <v>173658.84782608695</v>
      </c>
      <c r="I218">
        <f t="shared" si="3"/>
        <v>23</v>
      </c>
    </row>
    <row r="219" spans="1:9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>
        <f>SUMIFS(Лист2!$C:$C, Лист2!$A:$A, $A219, Лист2!$B:$B, $B219)</f>
        <v>22</v>
      </c>
      <c r="F219" s="3">
        <f>SUMIFS(Лист2!$D:$D, Лист2!$A:$A, $A219, Лист2!$B:$B, $B219)</f>
        <v>2793</v>
      </c>
      <c r="G219" s="3">
        <f>SUMIFS(Лист2!$E:$E, Лист2!$A:$A, $A219, Лист2!$B:$B, $B219)</f>
        <v>2539</v>
      </c>
      <c r="H219">
        <f>IFERROR(Таблица1[[#This Row],[Товарооборот, руб]]/Таблица1[[#This Row],[Количество складов]],0)</f>
        <v>202565.52272727274</v>
      </c>
      <c r="I219">
        <f t="shared" si="3"/>
        <v>23</v>
      </c>
    </row>
    <row r="220" spans="1:9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>
        <f>SUMIFS(Лист2!$C:$C, Лист2!$A:$A, $A220, Лист2!$B:$B, $B220)</f>
        <v>22</v>
      </c>
      <c r="F220" s="3">
        <f>SUMIFS(Лист2!$D:$D, Лист2!$A:$A, $A220, Лист2!$B:$B, $B220)</f>
        <v>2454</v>
      </c>
      <c r="G220" s="3">
        <f>SUMIFS(Лист2!$E:$E, Лист2!$A:$A, $A220, Лист2!$B:$B, $B220)</f>
        <v>2239</v>
      </c>
      <c r="H220">
        <f>IFERROR(Таблица1[[#This Row],[Товарооборот, руб]]/Таблица1[[#This Row],[Количество складов]],0)</f>
        <v>176985.47727272726</v>
      </c>
      <c r="I220">
        <f t="shared" si="3"/>
        <v>22</v>
      </c>
    </row>
    <row r="221" spans="1:9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>
        <f>SUMIFS(Лист2!$C:$C, Лист2!$A:$A, $A221, Лист2!$B:$B, $B221)</f>
        <v>15</v>
      </c>
      <c r="F221" s="3">
        <f>SUMIFS(Лист2!$D:$D, Лист2!$A:$A, $A221, Лист2!$B:$B, $B221)</f>
        <v>1111</v>
      </c>
      <c r="G221" s="3">
        <f>SUMIFS(Лист2!$E:$E, Лист2!$A:$A, $A221, Лист2!$B:$B, $B221)</f>
        <v>992</v>
      </c>
      <c r="H221">
        <f>IFERROR(Таблица1[[#This Row],[Товарооборот, руб]]/Таблица1[[#This Row],[Количество складов]],0)</f>
        <v>106761.7</v>
      </c>
      <c r="I221">
        <f t="shared" si="3"/>
        <v>21</v>
      </c>
    </row>
    <row r="222" spans="1:9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>
        <f>SUMIFS(Лист2!$C:$C, Лист2!$A:$A, $A222, Лист2!$B:$B, $B222)</f>
        <v>16</v>
      </c>
      <c r="F222" s="3">
        <f>SUMIFS(Лист2!$D:$D, Лист2!$A:$A, $A222, Лист2!$B:$B, $B222)</f>
        <v>1012</v>
      </c>
      <c r="G222" s="3">
        <f>SUMIFS(Лист2!$E:$E, Лист2!$A:$A, $A222, Лист2!$B:$B, $B222)</f>
        <v>900</v>
      </c>
      <c r="H222">
        <f>IFERROR(Таблица1[[#This Row],[Товарооборот, руб]]/Таблица1[[#This Row],[Количество складов]],0)</f>
        <v>85302.9375</v>
      </c>
      <c r="I222">
        <f t="shared" si="3"/>
        <v>21</v>
      </c>
    </row>
    <row r="223" spans="1:9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>
        <f>SUMIFS(Лист2!$C:$C, Лист2!$A:$A, $A223, Лист2!$B:$B, $B223)</f>
        <v>15</v>
      </c>
      <c r="F223" s="3">
        <f>SUMIFS(Лист2!$D:$D, Лист2!$A:$A, $A223, Лист2!$B:$B, $B223)</f>
        <v>971</v>
      </c>
      <c r="G223" s="3">
        <f>SUMIFS(Лист2!$E:$E, Лист2!$A:$A, $A223, Лист2!$B:$B, $B223)</f>
        <v>856</v>
      </c>
      <c r="H223">
        <f>IFERROR(Таблица1[[#This Row],[Товарооборот, руб]]/Таблица1[[#This Row],[Количество складов]],0)</f>
        <v>91838.5</v>
      </c>
      <c r="I223">
        <f t="shared" si="3"/>
        <v>21</v>
      </c>
    </row>
    <row r="224" spans="1:9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>
        <f>SUMIFS(Лист2!$C:$C, Лист2!$A:$A, $A224, Лист2!$B:$B, $B224)</f>
        <v>15</v>
      </c>
      <c r="F224" s="3">
        <f>SUMIFS(Лист2!$D:$D, Лист2!$A:$A, $A224, Лист2!$B:$B, $B224)</f>
        <v>849</v>
      </c>
      <c r="G224" s="3">
        <f>SUMIFS(Лист2!$E:$E, Лист2!$A:$A, $A224, Лист2!$B:$B, $B224)</f>
        <v>740</v>
      </c>
      <c r="H224">
        <f>IFERROR(Таблица1[[#This Row],[Товарооборот, руб]]/Таблица1[[#This Row],[Количество складов]],0)</f>
        <v>81528.800000000003</v>
      </c>
      <c r="I224">
        <f t="shared" si="3"/>
        <v>20</v>
      </c>
    </row>
    <row r="225" spans="1:9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>
        <f>SUMIFS(Лист2!$C:$C, Лист2!$A:$A, $A225, Лист2!$B:$B, $B225)</f>
        <v>15</v>
      </c>
      <c r="F225" s="3">
        <f>SUMIFS(Лист2!$D:$D, Лист2!$A:$A, $A225, Лист2!$B:$B, $B225)</f>
        <v>750</v>
      </c>
      <c r="G225" s="3">
        <f>SUMIFS(Лист2!$E:$E, Лист2!$A:$A, $A225, Лист2!$B:$B, $B225)</f>
        <v>647</v>
      </c>
      <c r="H225">
        <f>IFERROR(Таблица1[[#This Row],[Товарооборот, руб]]/Таблица1[[#This Row],[Количество складов]],0)</f>
        <v>72347.399999999994</v>
      </c>
      <c r="I225">
        <f t="shared" si="3"/>
        <v>18</v>
      </c>
    </row>
    <row r="226" spans="1:9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>
        <f>SUMIFS(Лист2!$C:$C, Лист2!$A:$A, $A226, Лист2!$B:$B, $B226)</f>
        <v>15</v>
      </c>
      <c r="F226" s="3">
        <f>SUMIFS(Лист2!$D:$D, Лист2!$A:$A, $A226, Лист2!$B:$B, $B226)</f>
        <v>786</v>
      </c>
      <c r="G226" s="3">
        <f>SUMIFS(Лист2!$E:$E, Лист2!$A:$A, $A226, Лист2!$B:$B, $B226)</f>
        <v>695</v>
      </c>
      <c r="H226">
        <f>IFERROR(Таблица1[[#This Row],[Товарооборот, руб]]/Таблица1[[#This Row],[Количество складов]],0)</f>
        <v>74399.5</v>
      </c>
      <c r="I226">
        <f t="shared" si="3"/>
        <v>18</v>
      </c>
    </row>
    <row r="227" spans="1:9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>
        <f>SUMIFS(Лист2!$C:$C, Лист2!$A:$A, $A227, Лист2!$B:$B, $B227)</f>
        <v>15</v>
      </c>
      <c r="F227" s="3">
        <f>SUMIFS(Лист2!$D:$D, Лист2!$A:$A, $A227, Лист2!$B:$B, $B227)</f>
        <v>751</v>
      </c>
      <c r="G227" s="3">
        <f>SUMIFS(Лист2!$E:$E, Лист2!$A:$A, $A227, Лист2!$B:$B, $B227)</f>
        <v>651</v>
      </c>
      <c r="H227">
        <f>IFERROR(Таблица1[[#This Row],[Товарооборот, руб]]/Таблица1[[#This Row],[Количество складов]],0)</f>
        <v>70214.7</v>
      </c>
      <c r="I227">
        <f t="shared" si="3"/>
        <v>19</v>
      </c>
    </row>
    <row r="228" spans="1:9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>
        <f>SUMIFS(Лист2!$C:$C, Лист2!$A:$A, $A228, Лист2!$B:$B, $B228)</f>
        <v>17</v>
      </c>
      <c r="F228" s="3">
        <f>SUMIFS(Лист2!$D:$D, Лист2!$A:$A, $A228, Лист2!$B:$B, $B228)</f>
        <v>1140</v>
      </c>
      <c r="G228" s="3">
        <f>SUMIFS(Лист2!$E:$E, Лист2!$A:$A, $A228, Лист2!$B:$B, $B228)</f>
        <v>1016</v>
      </c>
      <c r="H228">
        <f>IFERROR(Таблица1[[#This Row],[Товарооборот, руб]]/Таблица1[[#This Row],[Количество складов]],0)</f>
        <v>87596.029411764699</v>
      </c>
      <c r="I228">
        <f t="shared" si="3"/>
        <v>22</v>
      </c>
    </row>
    <row r="229" spans="1:9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>
        <f>SUMIFS(Лист2!$C:$C, Лист2!$A:$A, $A229, Лист2!$B:$B, $B229)</f>
        <v>15</v>
      </c>
      <c r="F229" s="3">
        <f>SUMIFS(Лист2!$D:$D, Лист2!$A:$A, $A229, Лист2!$B:$B, $B229)</f>
        <v>996</v>
      </c>
      <c r="G229" s="3">
        <f>SUMIFS(Лист2!$E:$E, Лист2!$A:$A, $A229, Лист2!$B:$B, $B229)</f>
        <v>888</v>
      </c>
      <c r="H229">
        <f>IFERROR(Таблица1[[#This Row],[Товарооборот, руб]]/Таблица1[[#This Row],[Количество складов]],0)</f>
        <v>97722.8</v>
      </c>
      <c r="I229">
        <f t="shared" si="3"/>
        <v>18</v>
      </c>
    </row>
    <row r="230" spans="1:9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>
        <f>SUMIFS(Лист2!$C:$C, Лист2!$A:$A, $A230, Лист2!$B:$B, $B230)</f>
        <v>15</v>
      </c>
      <c r="F230" s="3">
        <f>SUMIFS(Лист2!$D:$D, Лист2!$A:$A, $A230, Лист2!$B:$B, $B230)</f>
        <v>845</v>
      </c>
      <c r="G230" s="3">
        <f>SUMIFS(Лист2!$E:$E, Лист2!$A:$A, $A230, Лист2!$B:$B, $B230)</f>
        <v>743</v>
      </c>
      <c r="H230">
        <f>IFERROR(Таблица1[[#This Row],[Товарооборот, руб]]/Таблица1[[#This Row],[Количество складов]],0)</f>
        <v>74922</v>
      </c>
      <c r="I230">
        <f t="shared" si="3"/>
        <v>20</v>
      </c>
    </row>
    <row r="231" spans="1:9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>
        <f>SUMIFS(Лист2!$C:$C, Лист2!$A:$A, $A231, Лист2!$B:$B, $B231)</f>
        <v>17</v>
      </c>
      <c r="F231" s="3">
        <f>SUMIFS(Лист2!$D:$D, Лист2!$A:$A, $A231, Лист2!$B:$B, $B231)</f>
        <v>1045</v>
      </c>
      <c r="G231" s="3">
        <f>SUMIFS(Лист2!$E:$E, Лист2!$A:$A, $A231, Лист2!$B:$B, $B231)</f>
        <v>930</v>
      </c>
      <c r="H231">
        <f>IFERROR(Таблица1[[#This Row],[Товарооборот, руб]]/Таблица1[[#This Row],[Количество складов]],0)</f>
        <v>81220.676470588238</v>
      </c>
      <c r="I231">
        <f t="shared" si="3"/>
        <v>21</v>
      </c>
    </row>
    <row r="232" spans="1:9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>
        <f>SUMIFS(Лист2!$C:$C, Лист2!$A:$A, $A232, Лист2!$B:$B, $B232)</f>
        <v>16</v>
      </c>
      <c r="F232" s="3">
        <f>SUMIFS(Лист2!$D:$D, Лист2!$A:$A, $A232, Лист2!$B:$B, $B232)</f>
        <v>1050</v>
      </c>
      <c r="G232" s="3">
        <f>SUMIFS(Лист2!$E:$E, Лист2!$A:$A, $A232, Лист2!$B:$B, $B232)</f>
        <v>938</v>
      </c>
      <c r="H232">
        <f>IFERROR(Таблица1[[#This Row],[Товарооборот, руб]]/Таблица1[[#This Row],[Количество складов]],0)</f>
        <v>89390.90625</v>
      </c>
      <c r="I232">
        <f t="shared" si="3"/>
        <v>21</v>
      </c>
    </row>
    <row r="233" spans="1:9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>
        <f>SUMIFS(Лист2!$C:$C, Лист2!$A:$A, $A233, Лист2!$B:$B, $B233)</f>
        <v>15</v>
      </c>
      <c r="F233" s="3">
        <f>SUMIFS(Лист2!$D:$D, Лист2!$A:$A, $A233, Лист2!$B:$B, $B233)</f>
        <v>922</v>
      </c>
      <c r="G233" s="3">
        <f>SUMIFS(Лист2!$E:$E, Лист2!$A:$A, $A233, Лист2!$B:$B, $B233)</f>
        <v>823</v>
      </c>
      <c r="H233">
        <f>IFERROR(Таблица1[[#This Row],[Товарооборот, руб]]/Таблица1[[#This Row],[Количество складов]],0)</f>
        <v>92278.6</v>
      </c>
      <c r="I233">
        <f t="shared" si="3"/>
        <v>19</v>
      </c>
    </row>
    <row r="234" spans="1:9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>
        <f>SUMIFS(Лист2!$C:$C, Лист2!$A:$A, $A234, Лист2!$B:$B, $B234)</f>
        <v>15</v>
      </c>
      <c r="F234" s="3">
        <f>SUMIFS(Лист2!$D:$D, Лист2!$A:$A, $A234, Лист2!$B:$B, $B234)</f>
        <v>780</v>
      </c>
      <c r="G234" s="3">
        <f>SUMIFS(Лист2!$E:$E, Лист2!$A:$A, $A234, Лист2!$B:$B, $B234)</f>
        <v>690</v>
      </c>
      <c r="H234">
        <f>IFERROR(Таблица1[[#This Row],[Товарооборот, руб]]/Таблица1[[#This Row],[Количество складов]],0)</f>
        <v>73525.8</v>
      </c>
      <c r="I234">
        <f t="shared" si="3"/>
        <v>18</v>
      </c>
    </row>
    <row r="235" spans="1:9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>
        <f>SUMIFS(Лист2!$C:$C, Лист2!$A:$A, $A235, Лист2!$B:$B, $B235)</f>
        <v>15</v>
      </c>
      <c r="F235" s="3">
        <f>SUMIFS(Лист2!$D:$D, Лист2!$A:$A, $A235, Лист2!$B:$B, $B235)</f>
        <v>898</v>
      </c>
      <c r="G235" s="3">
        <f>SUMIFS(Лист2!$E:$E, Лист2!$A:$A, $A235, Лист2!$B:$B, $B235)</f>
        <v>795</v>
      </c>
      <c r="H235">
        <f>IFERROR(Таблица1[[#This Row],[Товарооборот, руб]]/Таблица1[[#This Row],[Количество складов]],0)</f>
        <v>82900.5</v>
      </c>
      <c r="I235">
        <f t="shared" si="3"/>
        <v>20</v>
      </c>
    </row>
    <row r="236" spans="1:9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>
        <f>SUMIFS(Лист2!$C:$C, Лист2!$A:$A, $A236, Лист2!$B:$B, $B236)</f>
        <v>15</v>
      </c>
      <c r="F236" s="3">
        <f>SUMIFS(Лист2!$D:$D, Лист2!$A:$A, $A236, Лист2!$B:$B, $B236)</f>
        <v>784</v>
      </c>
      <c r="G236" s="3">
        <f>SUMIFS(Лист2!$E:$E, Лист2!$A:$A, $A236, Лист2!$B:$B, $B236)</f>
        <v>696</v>
      </c>
      <c r="H236">
        <f>IFERROR(Таблица1[[#This Row],[Товарооборот, руб]]/Таблица1[[#This Row],[Количество складов]],0)</f>
        <v>74667.3</v>
      </c>
      <c r="I236">
        <f t="shared" si="3"/>
        <v>19</v>
      </c>
    </row>
    <row r="237" spans="1:9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>
        <f>SUMIFS(Лист2!$C:$C, Лист2!$A:$A, $A237, Лист2!$B:$B, $B237)</f>
        <v>15</v>
      </c>
      <c r="F237" s="3">
        <f>SUMIFS(Лист2!$D:$D, Лист2!$A:$A, $A237, Лист2!$B:$B, $B237)</f>
        <v>839</v>
      </c>
      <c r="G237" s="3">
        <f>SUMIFS(Лист2!$E:$E, Лист2!$A:$A, $A237, Лист2!$B:$B, $B237)</f>
        <v>733</v>
      </c>
      <c r="H237">
        <f>IFERROR(Таблица1[[#This Row],[Товарооборот, руб]]/Таблица1[[#This Row],[Количество складов]],0)</f>
        <v>81403.8</v>
      </c>
      <c r="I237">
        <f t="shared" si="3"/>
        <v>19</v>
      </c>
    </row>
    <row r="238" spans="1:9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>
        <f>SUMIFS(Лист2!$C:$C, Лист2!$A:$A, $A238, Лист2!$B:$B, $B238)</f>
        <v>17</v>
      </c>
      <c r="F238" s="3">
        <f>SUMIFS(Лист2!$D:$D, Лист2!$A:$A, $A238, Лист2!$B:$B, $B238)</f>
        <v>1294</v>
      </c>
      <c r="G238" s="3">
        <f>SUMIFS(Лист2!$E:$E, Лист2!$A:$A, $A238, Лист2!$B:$B, $B238)</f>
        <v>1155</v>
      </c>
      <c r="H238">
        <f>IFERROR(Таблица1[[#This Row],[Товарооборот, руб]]/Таблица1[[#This Row],[Количество складов]],0)</f>
        <v>109058.91176470589</v>
      </c>
      <c r="I238">
        <f t="shared" si="3"/>
        <v>22</v>
      </c>
    </row>
    <row r="239" spans="1:9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>
        <f>SUMIFS(Лист2!$C:$C, Лист2!$A:$A, $A239, Лист2!$B:$B, $B239)</f>
        <v>17</v>
      </c>
      <c r="F239" s="3">
        <f>SUMIFS(Лист2!$D:$D, Лист2!$A:$A, $A239, Лист2!$B:$B, $B239)</f>
        <v>1142</v>
      </c>
      <c r="G239" s="3">
        <f>SUMIFS(Лист2!$E:$E, Лист2!$A:$A, $A239, Лист2!$B:$B, $B239)</f>
        <v>1020</v>
      </c>
      <c r="H239">
        <f>IFERROR(Таблица1[[#This Row],[Товарооборот, руб]]/Таблица1[[#This Row],[Количество складов]],0)</f>
        <v>88698.088235294112</v>
      </c>
      <c r="I239">
        <f t="shared" si="3"/>
        <v>21</v>
      </c>
    </row>
    <row r="240" spans="1:9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>
        <f>SUMIFS(Лист2!$C:$C, Лист2!$A:$A, $A240, Лист2!$B:$B, $B240)</f>
        <v>15</v>
      </c>
      <c r="F240" s="3">
        <f>SUMIFS(Лист2!$D:$D, Лист2!$A:$A, $A240, Лист2!$B:$B, $B240)</f>
        <v>791</v>
      </c>
      <c r="G240" s="3">
        <f>SUMIFS(Лист2!$E:$E, Лист2!$A:$A, $A240, Лист2!$B:$B, $B240)</f>
        <v>691</v>
      </c>
      <c r="H240">
        <f>IFERROR(Таблица1[[#This Row],[Товарооборот, руб]]/Таблица1[[#This Row],[Количество складов]],0)</f>
        <v>73537.899999999994</v>
      </c>
      <c r="I240">
        <f t="shared" si="3"/>
        <v>18</v>
      </c>
    </row>
    <row r="241" spans="1:9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>
        <f>SUMIFS(Лист2!$C:$C, Лист2!$A:$A, $A241, Лист2!$B:$B, $B241)</f>
        <v>15</v>
      </c>
      <c r="F241" s="3">
        <f>SUMIFS(Лист2!$D:$D, Лист2!$A:$A, $A241, Лист2!$B:$B, $B241)</f>
        <v>950</v>
      </c>
      <c r="G241" s="3">
        <f>SUMIFS(Лист2!$E:$E, Лист2!$A:$A, $A241, Лист2!$B:$B, $B241)</f>
        <v>848</v>
      </c>
      <c r="H241">
        <f>IFERROR(Таблица1[[#This Row],[Товарооборот, руб]]/Таблица1[[#This Row],[Количество складов]],0)</f>
        <v>98102.5</v>
      </c>
      <c r="I241">
        <f t="shared" si="3"/>
        <v>20</v>
      </c>
    </row>
    <row r="242" spans="1:9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>
        <f>SUMIFS(Лист2!$C:$C, Лист2!$A:$A, $A242, Лист2!$B:$B, $B242)</f>
        <v>15</v>
      </c>
      <c r="F242" s="3">
        <f>SUMIFS(Лист2!$D:$D, Лист2!$A:$A, $A242, Лист2!$B:$B, $B242)</f>
        <v>879</v>
      </c>
      <c r="G242" s="3">
        <f>SUMIFS(Лист2!$E:$E, Лист2!$A:$A, $A242, Лист2!$B:$B, $B242)</f>
        <v>768</v>
      </c>
      <c r="H242">
        <f>IFERROR(Таблица1[[#This Row],[Товарооборот, руб]]/Таблица1[[#This Row],[Количество складов]],0)</f>
        <v>84652.4</v>
      </c>
      <c r="I242">
        <f t="shared" si="3"/>
        <v>19</v>
      </c>
    </row>
    <row r="243" spans="1:9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>
        <f>SUMIFS(Лист2!$C:$C, Лист2!$A:$A, $A243, Лист2!$B:$B, $B243)</f>
        <v>15</v>
      </c>
      <c r="F243" s="3">
        <f>SUMIFS(Лист2!$D:$D, Лист2!$A:$A, $A243, Лист2!$B:$B, $B243)</f>
        <v>805</v>
      </c>
      <c r="G243" s="3">
        <f>SUMIFS(Лист2!$E:$E, Лист2!$A:$A, $A243, Лист2!$B:$B, $B243)</f>
        <v>703</v>
      </c>
      <c r="H243">
        <f>IFERROR(Таблица1[[#This Row],[Товарооборот, руб]]/Таблица1[[#This Row],[Количество складов]],0)</f>
        <v>74926.3</v>
      </c>
      <c r="I243">
        <f t="shared" si="3"/>
        <v>19</v>
      </c>
    </row>
    <row r="244" spans="1:9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>
        <f>SUMIFS(Лист2!$C:$C, Лист2!$A:$A, $A244, Лист2!$B:$B, $B244)</f>
        <v>17</v>
      </c>
      <c r="F244" s="3">
        <f>SUMIFS(Лист2!$D:$D, Лист2!$A:$A, $A244, Лист2!$B:$B, $B244)</f>
        <v>1128</v>
      </c>
      <c r="G244" s="3">
        <f>SUMIFS(Лист2!$E:$E, Лист2!$A:$A, $A244, Лист2!$B:$B, $B244)</f>
        <v>1001</v>
      </c>
      <c r="H244">
        <f>IFERROR(Таблица1[[#This Row],[Товарооборот, руб]]/Таблица1[[#This Row],[Количество складов]],0)</f>
        <v>91064.647058823524</v>
      </c>
      <c r="I244">
        <f t="shared" si="3"/>
        <v>22</v>
      </c>
    </row>
    <row r="245" spans="1:9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>
        <f>SUMIFS(Лист2!$C:$C, Лист2!$A:$A, $A245, Лист2!$B:$B, $B245)</f>
        <v>15</v>
      </c>
      <c r="F245" s="3">
        <f>SUMIFS(Лист2!$D:$D, Лист2!$A:$A, $A245, Лист2!$B:$B, $B245)</f>
        <v>747</v>
      </c>
      <c r="G245" s="3">
        <f>SUMIFS(Лист2!$E:$E, Лист2!$A:$A, $A245, Лист2!$B:$B, $B245)</f>
        <v>647</v>
      </c>
      <c r="H245">
        <f>IFERROR(Таблица1[[#This Row],[Товарооборот, руб]]/Таблица1[[#This Row],[Количество складов]],0)</f>
        <v>81002.2</v>
      </c>
      <c r="I245">
        <f t="shared" si="3"/>
        <v>21</v>
      </c>
    </row>
    <row r="246" spans="1:9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>
        <f>SUMIFS(Лист2!$C:$C, Лист2!$A:$A, $A246, Лист2!$B:$B, $B246)</f>
        <v>15</v>
      </c>
      <c r="F246" s="3">
        <f>SUMIFS(Лист2!$D:$D, Лист2!$A:$A, $A246, Лист2!$B:$B, $B246)</f>
        <v>930</v>
      </c>
      <c r="G246" s="3">
        <f>SUMIFS(Лист2!$E:$E, Лист2!$A:$A, $A246, Лист2!$B:$B, $B246)</f>
        <v>827</v>
      </c>
      <c r="H246">
        <f>IFERROR(Таблица1[[#This Row],[Товарооборот, руб]]/Таблица1[[#This Row],[Количество складов]],0)</f>
        <v>93536.5</v>
      </c>
      <c r="I246">
        <f t="shared" si="3"/>
        <v>21</v>
      </c>
    </row>
    <row r="247" spans="1:9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>
        <f>SUMIFS(Лист2!$C:$C, Лист2!$A:$A, $A247, Лист2!$B:$B, $B247)</f>
        <v>15</v>
      </c>
      <c r="F247" s="3">
        <f>SUMIFS(Лист2!$D:$D, Лист2!$A:$A, $A247, Лист2!$B:$B, $B247)</f>
        <v>692</v>
      </c>
      <c r="G247" s="3">
        <f>SUMIFS(Лист2!$E:$E, Лист2!$A:$A, $A247, Лист2!$B:$B, $B247)</f>
        <v>591</v>
      </c>
      <c r="H247">
        <f>IFERROR(Таблица1[[#This Row],[Товарооборот, руб]]/Таблица1[[#This Row],[Количество складов]],0)</f>
        <v>70699.3</v>
      </c>
      <c r="I247">
        <f t="shared" si="3"/>
        <v>21</v>
      </c>
    </row>
    <row r="248" spans="1:9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>
        <f>SUMIFS(Лист2!$C:$C, Лист2!$A:$A, $A248, Лист2!$B:$B, $B248)</f>
        <v>15</v>
      </c>
      <c r="F248" s="3">
        <f>SUMIFS(Лист2!$D:$D, Лист2!$A:$A, $A248, Лист2!$B:$B, $B248)</f>
        <v>623</v>
      </c>
      <c r="G248" s="3">
        <f>SUMIFS(Лист2!$E:$E, Лист2!$A:$A, $A248, Лист2!$B:$B, $B248)</f>
        <v>535</v>
      </c>
      <c r="H248">
        <f>IFERROR(Таблица1[[#This Row],[Товарооборот, руб]]/Таблица1[[#This Row],[Количество складов]],0)</f>
        <v>72081.100000000006</v>
      </c>
      <c r="I248">
        <f t="shared" si="3"/>
        <v>20</v>
      </c>
    </row>
    <row r="249" spans="1:9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>
        <f>SUMIFS(Лист2!$C:$C, Лист2!$A:$A, $A249, Лист2!$B:$B, $B249)</f>
        <v>15</v>
      </c>
      <c r="F249" s="3">
        <f>SUMIFS(Лист2!$D:$D, Лист2!$A:$A, $A249, Лист2!$B:$B, $B249)</f>
        <v>390</v>
      </c>
      <c r="G249" s="3">
        <f>SUMIFS(Лист2!$E:$E, Лист2!$A:$A, $A249, Лист2!$B:$B, $B249)</f>
        <v>315</v>
      </c>
      <c r="H249">
        <f>IFERROR(Таблица1[[#This Row],[Товарооборот, руб]]/Таблица1[[#This Row],[Количество складов]],0)</f>
        <v>40723.699999999997</v>
      </c>
      <c r="I249">
        <f t="shared" si="3"/>
        <v>18</v>
      </c>
    </row>
    <row r="250" spans="1:9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>
        <f>SUMIFS(Лист2!$C:$C, Лист2!$A:$A, $A250, Лист2!$B:$B, $B250)</f>
        <v>18</v>
      </c>
      <c r="F250" s="3">
        <f>SUMIFS(Лист2!$D:$D, Лист2!$A:$A, $A250, Лист2!$B:$B, $B250)</f>
        <v>1599</v>
      </c>
      <c r="G250" s="3">
        <f>SUMIFS(Лист2!$E:$E, Лист2!$A:$A, $A250, Лист2!$B:$B, $B250)</f>
        <v>1450</v>
      </c>
      <c r="H250">
        <f>IFERROR(Таблица1[[#This Row],[Товарооборот, руб]]/Таблица1[[#This Row],[Количество складов]],0)</f>
        <v>131161.91666666666</v>
      </c>
      <c r="I250">
        <f t="shared" si="3"/>
        <v>18</v>
      </c>
    </row>
    <row r="251" spans="1:9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>
        <f>SUMIFS(Лист2!$C:$C, Лист2!$A:$A, $A251, Лист2!$B:$B, $B251)</f>
        <v>15</v>
      </c>
      <c r="F251" s="3">
        <f>SUMIFS(Лист2!$D:$D, Лист2!$A:$A, $A251, Лист2!$B:$B, $B251)</f>
        <v>274</v>
      </c>
      <c r="G251" s="3">
        <f>SUMIFS(Лист2!$E:$E, Лист2!$A:$A, $A251, Лист2!$B:$B, $B251)</f>
        <v>203</v>
      </c>
      <c r="H251">
        <f>IFERROR(Таблица1[[#This Row],[Товарооборот, руб]]/Таблица1[[#This Row],[Количество складов]],0)</f>
        <v>28882.9</v>
      </c>
      <c r="I251">
        <f t="shared" si="3"/>
        <v>19</v>
      </c>
    </row>
    <row r="252" spans="1:9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>
        <f>SUMIFS(Лист2!$C:$C, Лист2!$A:$A, $A252, Лист2!$B:$B, $B252)</f>
        <v>15</v>
      </c>
      <c r="F252" s="3">
        <f>SUMIFS(Лист2!$D:$D, Лист2!$A:$A, $A252, Лист2!$B:$B, $B252)</f>
        <v>812</v>
      </c>
      <c r="G252" s="3">
        <f>SUMIFS(Лист2!$E:$E, Лист2!$A:$A, $A252, Лист2!$B:$B, $B252)</f>
        <v>711</v>
      </c>
      <c r="H252">
        <f>IFERROR(Таблица1[[#This Row],[Товарооборот, руб]]/Таблица1[[#This Row],[Количество складов]],0)</f>
        <v>76803.600000000006</v>
      </c>
      <c r="I252">
        <f t="shared" si="3"/>
        <v>22</v>
      </c>
    </row>
    <row r="253" spans="1:9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>
        <f>SUMIFS(Лист2!$C:$C, Лист2!$A:$A, $A253, Лист2!$B:$B, $B253)</f>
        <v>15</v>
      </c>
      <c r="F253" s="3">
        <f>SUMIFS(Лист2!$D:$D, Лист2!$A:$A, $A253, Лист2!$B:$B, $B253)</f>
        <v>294</v>
      </c>
      <c r="G253" s="3">
        <f>SUMIFS(Лист2!$E:$E, Лист2!$A:$A, $A253, Лист2!$B:$B, $B253)</f>
        <v>225</v>
      </c>
      <c r="H253">
        <f>IFERROR(Таблица1[[#This Row],[Товарооборот, руб]]/Таблица1[[#This Row],[Количество складов]],0)</f>
        <v>33704.800000000003</v>
      </c>
      <c r="I253">
        <f t="shared" si="3"/>
        <v>18</v>
      </c>
    </row>
    <row r="254" spans="1:9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>
        <f>SUMIFS(Лист2!$C:$C, Лист2!$A:$A, $A254, Лист2!$B:$B, $B254)</f>
        <v>15</v>
      </c>
      <c r="F254" s="3">
        <f>SUMIFS(Лист2!$D:$D, Лист2!$A:$A, $A254, Лист2!$B:$B, $B254)</f>
        <v>624</v>
      </c>
      <c r="G254" s="3">
        <f>SUMIFS(Лист2!$E:$E, Лист2!$A:$A, $A254, Лист2!$B:$B, $B254)</f>
        <v>538</v>
      </c>
      <c r="H254">
        <f>IFERROR(Таблица1[[#This Row],[Товарооборот, руб]]/Таблица1[[#This Row],[Количество складов]],0)</f>
        <v>65975.5</v>
      </c>
      <c r="I254">
        <f t="shared" si="3"/>
        <v>20</v>
      </c>
    </row>
    <row r="255" spans="1:9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>
        <f>SUMIFS(Лист2!$C:$C, Лист2!$A:$A, $A255, Лист2!$B:$B, $B255)</f>
        <v>15</v>
      </c>
      <c r="F255" s="3">
        <f>SUMIFS(Лист2!$D:$D, Лист2!$A:$A, $A255, Лист2!$B:$B, $B255)</f>
        <v>749</v>
      </c>
      <c r="G255" s="3">
        <f>SUMIFS(Лист2!$E:$E, Лист2!$A:$A, $A255, Лист2!$B:$B, $B255)</f>
        <v>652</v>
      </c>
      <c r="H255">
        <f>IFERROR(Таблица1[[#This Row],[Товарооборот, руб]]/Таблица1[[#This Row],[Количество складов]],0)</f>
        <v>73574.899999999994</v>
      </c>
      <c r="I255">
        <f t="shared" si="3"/>
        <v>21</v>
      </c>
    </row>
    <row r="256" spans="1:9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>
        <f>SUMIFS(Лист2!$C:$C, Лист2!$A:$A, $A256, Лист2!$B:$B, $B256)</f>
        <v>15</v>
      </c>
      <c r="F256" s="3">
        <f>SUMIFS(Лист2!$D:$D, Лист2!$A:$A, $A256, Лист2!$B:$B, $B256)</f>
        <v>760</v>
      </c>
      <c r="G256" s="3">
        <f>SUMIFS(Лист2!$E:$E, Лист2!$A:$A, $A256, Лист2!$B:$B, $B256)</f>
        <v>664</v>
      </c>
      <c r="H256">
        <f>IFERROR(Таблица1[[#This Row],[Товарооборот, руб]]/Таблица1[[#This Row],[Количество складов]],0)</f>
        <v>73657.2</v>
      </c>
      <c r="I256">
        <f t="shared" si="3"/>
        <v>21</v>
      </c>
    </row>
    <row r="257" spans="1:9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>
        <f>SUMIFS(Лист2!$C:$C, Лист2!$A:$A, $A257, Лист2!$B:$B, $B257)</f>
        <v>15</v>
      </c>
      <c r="F257" s="3">
        <f>SUMIFS(Лист2!$D:$D, Лист2!$A:$A, $A257, Лист2!$B:$B, $B257)</f>
        <v>455</v>
      </c>
      <c r="G257" s="3">
        <f>SUMIFS(Лист2!$E:$E, Лист2!$A:$A, $A257, Лист2!$B:$B, $B257)</f>
        <v>381</v>
      </c>
      <c r="H257">
        <f>IFERROR(Таблица1[[#This Row],[Товарооборот, руб]]/Таблица1[[#This Row],[Количество складов]],0)</f>
        <v>46306.2</v>
      </c>
      <c r="I257">
        <f t="shared" si="3"/>
        <v>19</v>
      </c>
    </row>
    <row r="258" spans="1:9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>
        <f>SUMIFS(Лист2!$C:$C, Лист2!$A:$A, $A258, Лист2!$B:$B, $B258)</f>
        <v>18</v>
      </c>
      <c r="F258" s="3">
        <f>SUMIFS(Лист2!$D:$D, Лист2!$A:$A, $A258, Лист2!$B:$B, $B258)</f>
        <v>1505</v>
      </c>
      <c r="G258" s="3">
        <f>SUMIFS(Лист2!$E:$E, Лист2!$A:$A, $A258, Лист2!$B:$B, $B258)</f>
        <v>1368</v>
      </c>
      <c r="H258">
        <f>IFERROR(Таблица1[[#This Row],[Товарооборот, руб]]/Таблица1[[#This Row],[Количество складов]],0)</f>
        <v>126504</v>
      </c>
      <c r="I258">
        <f t="shared" ref="I258:I321" si="4">INT((A258-DATE(YEAR(A258),1,1)+WEEKDAY(A258,2)+6)/7)</f>
        <v>18</v>
      </c>
    </row>
    <row r="259" spans="1:9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>
        <f>SUMIFS(Лист2!$C:$C, Лист2!$A:$A, $A259, Лист2!$B:$B, $B259)</f>
        <v>15</v>
      </c>
      <c r="F259" s="3">
        <f>SUMIFS(Лист2!$D:$D, Лист2!$A:$A, $A259, Лист2!$B:$B, $B259)</f>
        <v>599</v>
      </c>
      <c r="G259" s="3">
        <f>SUMIFS(Лист2!$E:$E, Лист2!$A:$A, $A259, Лист2!$B:$B, $B259)</f>
        <v>515</v>
      </c>
      <c r="H259">
        <f>IFERROR(Таблица1[[#This Row],[Товарооборот, руб]]/Таблица1[[#This Row],[Количество складов]],0)</f>
        <v>63327.5</v>
      </c>
      <c r="I259">
        <f t="shared" si="4"/>
        <v>20</v>
      </c>
    </row>
    <row r="260" spans="1:9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>
        <f>SUMIFS(Лист2!$C:$C, Лист2!$A:$A, $A260, Лист2!$B:$B, $B260)</f>
        <v>17</v>
      </c>
      <c r="F260" s="3">
        <f>SUMIFS(Лист2!$D:$D, Лист2!$A:$A, $A260, Лист2!$B:$B, $B260)</f>
        <v>1186</v>
      </c>
      <c r="G260" s="3">
        <f>SUMIFS(Лист2!$E:$E, Лист2!$A:$A, $A260, Лист2!$B:$B, $B260)</f>
        <v>1054</v>
      </c>
      <c r="H260">
        <f>IFERROR(Таблица1[[#This Row],[Товарооборот, руб]]/Таблица1[[#This Row],[Количество складов]],0)</f>
        <v>93654.088235294112</v>
      </c>
      <c r="I260">
        <f t="shared" si="4"/>
        <v>23</v>
      </c>
    </row>
    <row r="261" spans="1:9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>
        <f>SUMIFS(Лист2!$C:$C, Лист2!$A:$A, $A261, Лист2!$B:$B, $B261)</f>
        <v>15</v>
      </c>
      <c r="F261" s="3">
        <f>SUMIFS(Лист2!$D:$D, Лист2!$A:$A, $A261, Лист2!$B:$B, $B261)</f>
        <v>455</v>
      </c>
      <c r="G261" s="3">
        <f>SUMIFS(Лист2!$E:$E, Лист2!$A:$A, $A261, Лист2!$B:$B, $B261)</f>
        <v>384</v>
      </c>
      <c r="H261">
        <f>IFERROR(Таблица1[[#This Row],[Товарооборот, руб]]/Таблица1[[#This Row],[Количество складов]],0)</f>
        <v>44353.5</v>
      </c>
      <c r="I261">
        <f t="shared" si="4"/>
        <v>19</v>
      </c>
    </row>
    <row r="262" spans="1:9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>
        <f>SUMIFS(Лист2!$C:$C, Лист2!$A:$A, $A262, Лист2!$B:$B, $B262)</f>
        <v>17</v>
      </c>
      <c r="F262" s="3">
        <f>SUMIFS(Лист2!$D:$D, Лист2!$A:$A, $A262, Лист2!$B:$B, $B262)</f>
        <v>1697</v>
      </c>
      <c r="G262" s="3">
        <f>SUMIFS(Лист2!$E:$E, Лист2!$A:$A, $A262, Лист2!$B:$B, $B262)</f>
        <v>1499</v>
      </c>
      <c r="H262">
        <f>IFERROR(Таблица1[[#This Row],[Товарооборот, руб]]/Таблица1[[#This Row],[Количество складов]],0)</f>
        <v>144544.23529411765</v>
      </c>
      <c r="I262">
        <f t="shared" si="4"/>
        <v>23</v>
      </c>
    </row>
    <row r="263" spans="1:9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>
        <f>SUMIFS(Лист2!$C:$C, Лист2!$A:$A, $A263, Лист2!$B:$B, $B263)</f>
        <v>15</v>
      </c>
      <c r="F263" s="3">
        <f>SUMIFS(Лист2!$D:$D, Лист2!$A:$A, $A263, Лист2!$B:$B, $B263)</f>
        <v>467</v>
      </c>
      <c r="G263" s="3">
        <f>SUMIFS(Лист2!$E:$E, Лист2!$A:$A, $A263, Лист2!$B:$B, $B263)</f>
        <v>389</v>
      </c>
      <c r="H263">
        <f>IFERROR(Таблица1[[#This Row],[Товарооборот, руб]]/Таблица1[[#This Row],[Количество складов]],0)</f>
        <v>49286.1</v>
      </c>
      <c r="I263">
        <f t="shared" si="4"/>
        <v>19</v>
      </c>
    </row>
    <row r="264" spans="1:9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>
        <f>SUMIFS(Лист2!$C:$C, Лист2!$A:$A, $A264, Лист2!$B:$B, $B264)</f>
        <v>15</v>
      </c>
      <c r="F264" s="3">
        <f>SUMIFS(Лист2!$D:$D, Лист2!$A:$A, $A264, Лист2!$B:$B, $B264)</f>
        <v>840</v>
      </c>
      <c r="G264" s="3">
        <f>SUMIFS(Лист2!$E:$E, Лист2!$A:$A, $A264, Лист2!$B:$B, $B264)</f>
        <v>725</v>
      </c>
      <c r="H264">
        <f>IFERROR(Таблица1[[#This Row],[Товарооборот, руб]]/Таблица1[[#This Row],[Количество складов]],0)</f>
        <v>87671.7</v>
      </c>
      <c r="I264">
        <f t="shared" si="4"/>
        <v>22</v>
      </c>
    </row>
    <row r="265" spans="1:9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>
        <f>SUMIFS(Лист2!$C:$C, Лист2!$A:$A, $A265, Лист2!$B:$B, $B265)</f>
        <v>17</v>
      </c>
      <c r="F265" s="3">
        <f>SUMIFS(Лист2!$D:$D, Лист2!$A:$A, $A265, Лист2!$B:$B, $B265)</f>
        <v>1097</v>
      </c>
      <c r="G265" s="3">
        <f>SUMIFS(Лист2!$E:$E, Лист2!$A:$A, $A265, Лист2!$B:$B, $B265)</f>
        <v>968</v>
      </c>
      <c r="H265">
        <f>IFERROR(Таблица1[[#This Row],[Товарооборот, руб]]/Таблица1[[#This Row],[Количество складов]],0)</f>
        <v>87525.176470588238</v>
      </c>
      <c r="I265">
        <f t="shared" si="4"/>
        <v>22</v>
      </c>
    </row>
    <row r="266" spans="1:9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>
        <f>SUMIFS(Лист2!$C:$C, Лист2!$A:$A, $A266, Лист2!$B:$B, $B266)</f>
        <v>15</v>
      </c>
      <c r="F266" s="3">
        <f>SUMIFS(Лист2!$D:$D, Лист2!$A:$A, $A266, Лист2!$B:$B, $B266)</f>
        <v>835</v>
      </c>
      <c r="G266" s="3">
        <f>SUMIFS(Лист2!$E:$E, Лист2!$A:$A, $A266, Лист2!$B:$B, $B266)</f>
        <v>736</v>
      </c>
      <c r="H266">
        <f>IFERROR(Таблица1[[#This Row],[Товарооборот, руб]]/Таблица1[[#This Row],[Количество складов]],0)</f>
        <v>82045.8</v>
      </c>
      <c r="I266">
        <f t="shared" si="4"/>
        <v>21</v>
      </c>
    </row>
    <row r="267" spans="1:9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>
        <f>SUMIFS(Лист2!$C:$C, Лист2!$A:$A, $A267, Лист2!$B:$B, $B267)</f>
        <v>15</v>
      </c>
      <c r="F267" s="3">
        <f>SUMIFS(Лист2!$D:$D, Лист2!$A:$A, $A267, Лист2!$B:$B, $B267)</f>
        <v>262</v>
      </c>
      <c r="G267" s="3">
        <f>SUMIFS(Лист2!$E:$E, Лист2!$A:$A, $A267, Лист2!$B:$B, $B267)</f>
        <v>195</v>
      </c>
      <c r="H267">
        <f>IFERROR(Таблица1[[#This Row],[Товарооборот, руб]]/Таблица1[[#This Row],[Количество складов]],0)</f>
        <v>26979.4</v>
      </c>
      <c r="I267">
        <f t="shared" si="4"/>
        <v>18</v>
      </c>
    </row>
    <row r="268" spans="1:9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>
        <f>SUMIFS(Лист2!$C:$C, Лист2!$A:$A, $A268, Лист2!$B:$B, $B268)</f>
        <v>15</v>
      </c>
      <c r="F268" s="3">
        <f>SUMIFS(Лист2!$D:$D, Лист2!$A:$A, $A268, Лист2!$B:$B, $B268)</f>
        <v>706</v>
      </c>
      <c r="G268" s="3">
        <f>SUMIFS(Лист2!$E:$E, Лист2!$A:$A, $A268, Лист2!$B:$B, $B268)</f>
        <v>608</v>
      </c>
      <c r="H268">
        <f>IFERROR(Таблица1[[#This Row],[Товарооборот, руб]]/Таблица1[[#This Row],[Количество складов]],0)</f>
        <v>79885.7</v>
      </c>
      <c r="I268">
        <f t="shared" si="4"/>
        <v>20</v>
      </c>
    </row>
    <row r="269" spans="1:9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>
        <f>SUMIFS(Лист2!$C:$C, Лист2!$A:$A, $A269, Лист2!$B:$B, $B269)</f>
        <v>15</v>
      </c>
      <c r="F269" s="3">
        <f>SUMIFS(Лист2!$D:$D, Лист2!$A:$A, $A269, Лист2!$B:$B, $B269)</f>
        <v>492</v>
      </c>
      <c r="G269" s="3">
        <f>SUMIFS(Лист2!$E:$E, Лист2!$A:$A, $A269, Лист2!$B:$B, $B269)</f>
        <v>412</v>
      </c>
      <c r="H269">
        <f>IFERROR(Таблица1[[#This Row],[Товарооборот, руб]]/Таблица1[[#This Row],[Количество складов]],0)</f>
        <v>53250.6</v>
      </c>
      <c r="I269">
        <f t="shared" si="4"/>
        <v>19</v>
      </c>
    </row>
    <row r="270" spans="1:9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>
        <f>SUMIFS(Лист2!$C:$C, Лист2!$A:$A, $A270, Лист2!$B:$B, $B270)</f>
        <v>15</v>
      </c>
      <c r="F270" s="3">
        <f>SUMIFS(Лист2!$D:$D, Лист2!$A:$A, $A270, Лист2!$B:$B, $B270)</f>
        <v>480</v>
      </c>
      <c r="G270" s="3">
        <f>SUMIFS(Лист2!$E:$E, Лист2!$A:$A, $A270, Лист2!$B:$B, $B270)</f>
        <v>398</v>
      </c>
      <c r="H270">
        <f>IFERROR(Таблица1[[#This Row],[Товарооборот, руб]]/Таблица1[[#This Row],[Количество складов]],0)</f>
        <v>51285.1</v>
      </c>
      <c r="I270">
        <f t="shared" si="4"/>
        <v>19</v>
      </c>
    </row>
    <row r="271" spans="1:9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>
        <f>SUMIFS(Лист2!$C:$C, Лист2!$A:$A, $A271, Лист2!$B:$B, $B271)</f>
        <v>15</v>
      </c>
      <c r="F271" s="3">
        <f>SUMIFS(Лист2!$D:$D, Лист2!$A:$A, $A271, Лист2!$B:$B, $B271)</f>
        <v>779</v>
      </c>
      <c r="G271" s="3">
        <f>SUMIFS(Лист2!$E:$E, Лист2!$A:$A, $A271, Лист2!$B:$B, $B271)</f>
        <v>673</v>
      </c>
      <c r="H271">
        <f>IFERROR(Таблица1[[#This Row],[Товарооборот, руб]]/Таблица1[[#This Row],[Количество складов]],0)</f>
        <v>78991</v>
      </c>
      <c r="I271">
        <f t="shared" si="4"/>
        <v>22</v>
      </c>
    </row>
    <row r="272" spans="1:9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>
        <f>SUMIFS(Лист2!$C:$C, Лист2!$A:$A, $A272, Лист2!$B:$B, $B272)</f>
        <v>19</v>
      </c>
      <c r="F272" s="3">
        <f>SUMIFS(Лист2!$D:$D, Лист2!$A:$A, $A272, Лист2!$B:$B, $B272)</f>
        <v>2039</v>
      </c>
      <c r="G272" s="3">
        <f>SUMIFS(Лист2!$E:$E, Лист2!$A:$A, $A272, Лист2!$B:$B, $B272)</f>
        <v>1868</v>
      </c>
      <c r="H272">
        <f>IFERROR(Таблица1[[#This Row],[Товарооборот, руб]]/Таблица1[[#This Row],[Количество складов]],0)</f>
        <v>153835.97368421053</v>
      </c>
      <c r="I272">
        <f t="shared" si="4"/>
        <v>21</v>
      </c>
    </row>
    <row r="273" spans="1:9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>
        <f>SUMIFS(Лист2!$C:$C, Лист2!$A:$A, $A273, Лист2!$B:$B, $B273)</f>
        <v>19</v>
      </c>
      <c r="F273" s="3">
        <f>SUMIFS(Лист2!$D:$D, Лист2!$A:$A, $A273, Лист2!$B:$B, $B273)</f>
        <v>1831</v>
      </c>
      <c r="G273" s="3">
        <f>SUMIFS(Лист2!$E:$E, Лист2!$A:$A, $A273, Лист2!$B:$B, $B273)</f>
        <v>1667</v>
      </c>
      <c r="H273">
        <f>IFERROR(Таблица1[[#This Row],[Товарооборот, руб]]/Таблица1[[#This Row],[Количество складов]],0)</f>
        <v>128764.73684210527</v>
      </c>
      <c r="I273">
        <f t="shared" si="4"/>
        <v>21</v>
      </c>
    </row>
    <row r="274" spans="1:9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>
        <f>SUMIFS(Лист2!$C:$C, Лист2!$A:$A, $A274, Лист2!$B:$B, $B274)</f>
        <v>19</v>
      </c>
      <c r="F274" s="3">
        <f>SUMIFS(Лист2!$D:$D, Лист2!$A:$A, $A274, Лист2!$B:$B, $B274)</f>
        <v>1790</v>
      </c>
      <c r="G274" s="3">
        <f>SUMIFS(Лист2!$E:$E, Лист2!$A:$A, $A274, Лист2!$B:$B, $B274)</f>
        <v>1633</v>
      </c>
      <c r="H274">
        <f>IFERROR(Таблица1[[#This Row],[Товарооборот, руб]]/Таблица1[[#This Row],[Количество складов]],0)</f>
        <v>128191.18421052632</v>
      </c>
      <c r="I274">
        <f t="shared" si="4"/>
        <v>21</v>
      </c>
    </row>
    <row r="275" spans="1:9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>
        <f>SUMIFS(Лист2!$C:$C, Лист2!$A:$A, $A275, Лист2!$B:$B, $B275)</f>
        <v>19</v>
      </c>
      <c r="F275" s="3">
        <f>SUMIFS(Лист2!$D:$D, Лист2!$A:$A, $A275, Лист2!$B:$B, $B275)</f>
        <v>1542</v>
      </c>
      <c r="G275" s="3">
        <f>SUMIFS(Лист2!$E:$E, Лист2!$A:$A, $A275, Лист2!$B:$B, $B275)</f>
        <v>1412</v>
      </c>
      <c r="H275">
        <f>IFERROR(Таблица1[[#This Row],[Товарооборот, руб]]/Таблица1[[#This Row],[Количество складов]],0)</f>
        <v>125523</v>
      </c>
      <c r="I275">
        <f t="shared" si="4"/>
        <v>20</v>
      </c>
    </row>
    <row r="276" spans="1:9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>
        <f>SUMIFS(Лист2!$C:$C, Лист2!$A:$A, $A276, Лист2!$B:$B, $B276)</f>
        <v>19</v>
      </c>
      <c r="F276" s="3">
        <f>SUMIFS(Лист2!$D:$D, Лист2!$A:$A, $A276, Лист2!$B:$B, $B276)</f>
        <v>1479</v>
      </c>
      <c r="G276" s="3">
        <f>SUMIFS(Лист2!$E:$E, Лист2!$A:$A, $A276, Лист2!$B:$B, $B276)</f>
        <v>1346</v>
      </c>
      <c r="H276">
        <f>IFERROR(Таблица1[[#This Row],[Товарооборот, руб]]/Таблица1[[#This Row],[Количество складов]],0)</f>
        <v>113456.21052631579</v>
      </c>
      <c r="I276">
        <f t="shared" si="4"/>
        <v>18</v>
      </c>
    </row>
    <row r="277" spans="1:9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>
        <f>SUMIFS(Лист2!$C:$C, Лист2!$A:$A, $A277, Лист2!$B:$B, $B277)</f>
        <v>19</v>
      </c>
      <c r="F277" s="3">
        <f>SUMIFS(Лист2!$D:$D, Лист2!$A:$A, $A277, Лист2!$B:$B, $B277)</f>
        <v>1206</v>
      </c>
      <c r="G277" s="3">
        <f>SUMIFS(Лист2!$E:$E, Лист2!$A:$A, $A277, Лист2!$B:$B, $B277)</f>
        <v>1080</v>
      </c>
      <c r="H277">
        <f>IFERROR(Таблица1[[#This Row],[Товарооборот, руб]]/Таблица1[[#This Row],[Количество складов]],0)</f>
        <v>88571.131578947374</v>
      </c>
      <c r="I277">
        <f t="shared" si="4"/>
        <v>19</v>
      </c>
    </row>
    <row r="278" spans="1:9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>
        <f>SUMIFS(Лист2!$C:$C, Лист2!$A:$A, $A278, Лист2!$B:$B, $B278)</f>
        <v>20</v>
      </c>
      <c r="F278" s="3">
        <f>SUMIFS(Лист2!$D:$D, Лист2!$A:$A, $A278, Лист2!$B:$B, $B278)</f>
        <v>1814</v>
      </c>
      <c r="G278" s="3">
        <f>SUMIFS(Лист2!$E:$E, Лист2!$A:$A, $A278, Лист2!$B:$B, $B278)</f>
        <v>1655</v>
      </c>
      <c r="H278">
        <f>IFERROR(Таблица1[[#This Row],[Товарооборот, руб]]/Таблица1[[#This Row],[Количество складов]],0)</f>
        <v>120540.15</v>
      </c>
      <c r="I278">
        <f t="shared" si="4"/>
        <v>22</v>
      </c>
    </row>
    <row r="279" spans="1:9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>
        <f>SUMIFS(Лист2!$C:$C, Лист2!$A:$A, $A279, Лист2!$B:$B, $B279)</f>
        <v>19</v>
      </c>
      <c r="F279" s="3">
        <f>SUMIFS(Лист2!$D:$D, Лист2!$A:$A, $A279, Лист2!$B:$B, $B279)</f>
        <v>1987</v>
      </c>
      <c r="G279" s="3">
        <f>SUMIFS(Лист2!$E:$E, Лист2!$A:$A, $A279, Лист2!$B:$B, $B279)</f>
        <v>1791</v>
      </c>
      <c r="H279">
        <f>IFERROR(Таблица1[[#This Row],[Товарооборот, руб]]/Таблица1[[#This Row],[Количество складов]],0)</f>
        <v>166763.68421052632</v>
      </c>
      <c r="I279">
        <f t="shared" si="4"/>
        <v>18</v>
      </c>
    </row>
    <row r="280" spans="1:9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>
        <f>SUMIFS(Лист2!$C:$C, Лист2!$A:$A, $A280, Лист2!$B:$B, $B280)</f>
        <v>19</v>
      </c>
      <c r="F280" s="3">
        <f>SUMIFS(Лист2!$D:$D, Лист2!$A:$A, $A280, Лист2!$B:$B, $B280)</f>
        <v>1598</v>
      </c>
      <c r="G280" s="3">
        <f>SUMIFS(Лист2!$E:$E, Лист2!$A:$A, $A280, Лист2!$B:$B, $B280)</f>
        <v>1454</v>
      </c>
      <c r="H280">
        <f>IFERROR(Таблица1[[#This Row],[Товарооборот, руб]]/Таблица1[[#This Row],[Количество складов]],0)</f>
        <v>118061.05263157895</v>
      </c>
      <c r="I280">
        <f t="shared" si="4"/>
        <v>20</v>
      </c>
    </row>
    <row r="281" spans="1:9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>
        <f>SUMIFS(Лист2!$C:$C, Лист2!$A:$A, $A281, Лист2!$B:$B, $B281)</f>
        <v>19</v>
      </c>
      <c r="F281" s="3">
        <f>SUMIFS(Лист2!$D:$D, Лист2!$A:$A, $A281, Лист2!$B:$B, $B281)</f>
        <v>1650</v>
      </c>
      <c r="G281" s="3">
        <f>SUMIFS(Лист2!$E:$E, Лист2!$A:$A, $A281, Лист2!$B:$B, $B281)</f>
        <v>1505</v>
      </c>
      <c r="H281">
        <f>IFERROR(Таблица1[[#This Row],[Товарооборот, руб]]/Таблица1[[#This Row],[Количество складов]],0)</f>
        <v>115733.44736842105</v>
      </c>
      <c r="I281">
        <f t="shared" si="4"/>
        <v>21</v>
      </c>
    </row>
    <row r="282" spans="1:9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>
        <f>SUMIFS(Лист2!$C:$C, Лист2!$A:$A, $A282, Лист2!$B:$B, $B282)</f>
        <v>19</v>
      </c>
      <c r="F282" s="3">
        <f>SUMIFS(Лист2!$D:$D, Лист2!$A:$A, $A282, Лист2!$B:$B, $B282)</f>
        <v>1823</v>
      </c>
      <c r="G282" s="3">
        <f>SUMIFS(Лист2!$E:$E, Лист2!$A:$A, $A282, Лист2!$B:$B, $B282)</f>
        <v>1678</v>
      </c>
      <c r="H282">
        <f>IFERROR(Таблица1[[#This Row],[Товарооборот, руб]]/Таблица1[[#This Row],[Количество складов]],0)</f>
        <v>132671.52631578947</v>
      </c>
      <c r="I282">
        <f t="shared" si="4"/>
        <v>21</v>
      </c>
    </row>
    <row r="283" spans="1:9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>
        <f>SUMIFS(Лист2!$C:$C, Лист2!$A:$A, $A283, Лист2!$B:$B, $B283)</f>
        <v>19</v>
      </c>
      <c r="F283" s="3">
        <f>SUMIFS(Лист2!$D:$D, Лист2!$A:$A, $A283, Лист2!$B:$B, $B283)</f>
        <v>1622</v>
      </c>
      <c r="G283" s="3">
        <f>SUMIFS(Лист2!$E:$E, Лист2!$A:$A, $A283, Лист2!$B:$B, $B283)</f>
        <v>1482</v>
      </c>
      <c r="H283">
        <f>IFERROR(Таблица1[[#This Row],[Товарооборот, руб]]/Таблица1[[#This Row],[Количество складов]],0)</f>
        <v>125280.71052631579</v>
      </c>
      <c r="I283">
        <f t="shared" si="4"/>
        <v>19</v>
      </c>
    </row>
    <row r="284" spans="1:9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>
        <f>SUMIFS(Лист2!$C:$C, Лист2!$A:$A, $A284, Лист2!$B:$B, $B284)</f>
        <v>19</v>
      </c>
      <c r="F284" s="3">
        <f>SUMIFS(Лист2!$D:$D, Лист2!$A:$A, $A284, Лист2!$B:$B, $B284)</f>
        <v>1605</v>
      </c>
      <c r="G284" s="3">
        <f>SUMIFS(Лист2!$E:$E, Лист2!$A:$A, $A284, Лист2!$B:$B, $B284)</f>
        <v>1447</v>
      </c>
      <c r="H284">
        <f>IFERROR(Таблица1[[#This Row],[Товарооборот, руб]]/Таблица1[[#This Row],[Количество складов]],0)</f>
        <v>119139.55263157895</v>
      </c>
      <c r="I284">
        <f t="shared" si="4"/>
        <v>20</v>
      </c>
    </row>
    <row r="285" spans="1:9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>
        <f>SUMIFS(Лист2!$C:$C, Лист2!$A:$A, $A285, Лист2!$B:$B, $B285)</f>
        <v>16</v>
      </c>
      <c r="F285" s="3">
        <f>SUMIFS(Лист2!$D:$D, Лист2!$A:$A, $A285, Лист2!$B:$B, $B285)</f>
        <v>917</v>
      </c>
      <c r="G285" s="3">
        <f>SUMIFS(Лист2!$E:$E, Лист2!$A:$A, $A285, Лист2!$B:$B, $B285)</f>
        <v>802</v>
      </c>
      <c r="H285">
        <f>IFERROR(Таблица1[[#This Row],[Товарооборот, руб]]/Таблица1[[#This Row],[Количество складов]],0)</f>
        <v>83549.34375</v>
      </c>
      <c r="I285">
        <f t="shared" si="4"/>
        <v>23</v>
      </c>
    </row>
    <row r="286" spans="1:9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>
        <f>SUMIFS(Лист2!$C:$C, Лист2!$A:$A, $A286, Лист2!$B:$B, $B286)</f>
        <v>19</v>
      </c>
      <c r="F286" s="3">
        <f>SUMIFS(Лист2!$D:$D, Лист2!$A:$A, $A286, Лист2!$B:$B, $B286)</f>
        <v>1314</v>
      </c>
      <c r="G286" s="3">
        <f>SUMIFS(Лист2!$E:$E, Лист2!$A:$A, $A286, Лист2!$B:$B, $B286)</f>
        <v>1192</v>
      </c>
      <c r="H286">
        <f>IFERROR(Таблица1[[#This Row],[Товарооборот, руб]]/Таблица1[[#This Row],[Количество складов]],0)</f>
        <v>100345.10526315789</v>
      </c>
      <c r="I286">
        <f t="shared" si="4"/>
        <v>19</v>
      </c>
    </row>
    <row r="287" spans="1:9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>
        <f>SUMIFS(Лист2!$C:$C, Лист2!$A:$A, $A287, Лист2!$B:$B, $B287)</f>
        <v>16</v>
      </c>
      <c r="F287" s="3">
        <f>SUMIFS(Лист2!$D:$D, Лист2!$A:$A, $A287, Лист2!$B:$B, $B287)</f>
        <v>1048</v>
      </c>
      <c r="G287" s="3">
        <f>SUMIFS(Лист2!$E:$E, Лист2!$A:$A, $A287, Лист2!$B:$B, $B287)</f>
        <v>918</v>
      </c>
      <c r="H287">
        <f>IFERROR(Таблица1[[#This Row],[Товарооборот, руб]]/Таблица1[[#This Row],[Количество складов]],0)</f>
        <v>100568.15625</v>
      </c>
      <c r="I287">
        <f t="shared" si="4"/>
        <v>23</v>
      </c>
    </row>
    <row r="288" spans="1:9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>
        <f>SUMIFS(Лист2!$C:$C, Лист2!$A:$A, $A288, Лист2!$B:$B, $B288)</f>
        <v>19</v>
      </c>
      <c r="F288" s="3">
        <f>SUMIFS(Лист2!$D:$D, Лист2!$A:$A, $A288, Лист2!$B:$B, $B288)</f>
        <v>1509</v>
      </c>
      <c r="G288" s="3">
        <f>SUMIFS(Лист2!$E:$E, Лист2!$A:$A, $A288, Лист2!$B:$B, $B288)</f>
        <v>1374</v>
      </c>
      <c r="H288">
        <f>IFERROR(Таблица1[[#This Row],[Товарооборот, руб]]/Таблица1[[#This Row],[Количество складов]],0)</f>
        <v>113650.02631578948</v>
      </c>
      <c r="I288">
        <f t="shared" si="4"/>
        <v>19</v>
      </c>
    </row>
    <row r="289" spans="1:9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>
        <f>SUMIFS(Лист2!$C:$C, Лист2!$A:$A, $A289, Лист2!$B:$B, $B289)</f>
        <v>19</v>
      </c>
      <c r="F289" s="3">
        <f>SUMIFS(Лист2!$D:$D, Лист2!$A:$A, $A289, Лист2!$B:$B, $B289)</f>
        <v>2195</v>
      </c>
      <c r="G289" s="3">
        <f>SUMIFS(Лист2!$E:$E, Лист2!$A:$A, $A289, Лист2!$B:$B, $B289)</f>
        <v>1999</v>
      </c>
      <c r="H289">
        <f>IFERROR(Таблица1[[#This Row],[Товарооборот, руб]]/Таблица1[[#This Row],[Количество складов]],0)</f>
        <v>162586.34210526315</v>
      </c>
      <c r="I289">
        <f t="shared" si="4"/>
        <v>22</v>
      </c>
    </row>
    <row r="290" spans="1:9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>
        <f>SUMIFS(Лист2!$C:$C, Лист2!$A:$A, $A290, Лист2!$B:$B, $B290)</f>
        <v>16</v>
      </c>
      <c r="F290" s="3">
        <f>SUMIFS(Лист2!$D:$D, Лист2!$A:$A, $A290, Лист2!$B:$B, $B290)</f>
        <v>876</v>
      </c>
      <c r="G290" s="3">
        <f>SUMIFS(Лист2!$E:$E, Лист2!$A:$A, $A290, Лист2!$B:$B, $B290)</f>
        <v>762</v>
      </c>
      <c r="H290">
        <f>IFERROR(Таблица1[[#This Row],[Товарооборот, руб]]/Таблица1[[#This Row],[Количество складов]],0)</f>
        <v>77484.1875</v>
      </c>
      <c r="I290">
        <f t="shared" si="4"/>
        <v>22</v>
      </c>
    </row>
    <row r="291" spans="1:9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>
        <f>SUMIFS(Лист2!$C:$C, Лист2!$A:$A, $A291, Лист2!$B:$B, $B291)</f>
        <v>20</v>
      </c>
      <c r="F291" s="3">
        <f>SUMIFS(Лист2!$D:$D, Лист2!$A:$A, $A291, Лист2!$B:$B, $B291)</f>
        <v>1899</v>
      </c>
      <c r="G291" s="3">
        <f>SUMIFS(Лист2!$E:$E, Лист2!$A:$A, $A291, Лист2!$B:$B, $B291)</f>
        <v>1738</v>
      </c>
      <c r="H291">
        <f>IFERROR(Таблица1[[#This Row],[Товарооборот, руб]]/Таблица1[[#This Row],[Количество складов]],0)</f>
        <v>125640.15</v>
      </c>
      <c r="I291">
        <f t="shared" si="4"/>
        <v>21</v>
      </c>
    </row>
    <row r="292" spans="1:9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>
        <f>SUMIFS(Лист2!$C:$C, Лист2!$A:$A, $A292, Лист2!$B:$B, $B292)</f>
        <v>19</v>
      </c>
      <c r="F292" s="3">
        <f>SUMIFS(Лист2!$D:$D, Лист2!$A:$A, $A292, Лист2!$B:$B, $B292)</f>
        <v>1662</v>
      </c>
      <c r="G292" s="3">
        <f>SUMIFS(Лист2!$E:$E, Лист2!$A:$A, $A292, Лист2!$B:$B, $B292)</f>
        <v>1506</v>
      </c>
      <c r="H292">
        <f>IFERROR(Таблица1[[#This Row],[Товарооборот, руб]]/Таблица1[[#This Row],[Количество складов]],0)</f>
        <v>134741.05263157896</v>
      </c>
      <c r="I292">
        <f t="shared" si="4"/>
        <v>18</v>
      </c>
    </row>
    <row r="293" spans="1:9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>
        <f>SUMIFS(Лист2!$C:$C, Лист2!$A:$A, $A293, Лист2!$B:$B, $B293)</f>
        <v>19</v>
      </c>
      <c r="F293" s="3">
        <f>SUMIFS(Лист2!$D:$D, Лист2!$A:$A, $A293, Лист2!$B:$B, $B293)</f>
        <v>1836</v>
      </c>
      <c r="G293" s="3">
        <f>SUMIFS(Лист2!$E:$E, Лист2!$A:$A, $A293, Лист2!$B:$B, $B293)</f>
        <v>1680</v>
      </c>
      <c r="H293">
        <f>IFERROR(Таблица1[[#This Row],[Товарооборот, руб]]/Таблица1[[#This Row],[Количество складов]],0)</f>
        <v>145645.81578947368</v>
      </c>
      <c r="I293">
        <f t="shared" si="4"/>
        <v>20</v>
      </c>
    </row>
    <row r="294" spans="1:9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>
        <f>SUMIFS(Лист2!$C:$C, Лист2!$A:$A, $A294, Лист2!$B:$B, $B294)</f>
        <v>19</v>
      </c>
      <c r="F294" s="3">
        <f>SUMIFS(Лист2!$D:$D, Лист2!$A:$A, $A294, Лист2!$B:$B, $B294)</f>
        <v>1520</v>
      </c>
      <c r="G294" s="3">
        <f>SUMIFS(Лист2!$E:$E, Лист2!$A:$A, $A294, Лист2!$B:$B, $B294)</f>
        <v>1380</v>
      </c>
      <c r="H294">
        <f>IFERROR(Таблица1[[#This Row],[Товарооборот, руб]]/Таблица1[[#This Row],[Количество складов]],0)</f>
        <v>117682.10526315789</v>
      </c>
      <c r="I294">
        <f t="shared" si="4"/>
        <v>19</v>
      </c>
    </row>
    <row r="295" spans="1:9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>
        <f>SUMIFS(Лист2!$C:$C, Лист2!$A:$A, $A295, Лист2!$B:$B, $B295)</f>
        <v>19</v>
      </c>
      <c r="F295" s="3">
        <f>SUMIFS(Лист2!$D:$D, Лист2!$A:$A, $A295, Лист2!$B:$B, $B295)</f>
        <v>1580</v>
      </c>
      <c r="G295" s="3">
        <f>SUMIFS(Лист2!$E:$E, Лист2!$A:$A, $A295, Лист2!$B:$B, $B295)</f>
        <v>1435</v>
      </c>
      <c r="H295">
        <f>IFERROR(Таблица1[[#This Row],[Товарооборот, руб]]/Таблица1[[#This Row],[Количество складов]],0)</f>
        <v>121491.39473684211</v>
      </c>
      <c r="I295">
        <f t="shared" si="4"/>
        <v>19</v>
      </c>
    </row>
    <row r="296" spans="1:9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>
        <f>SUMIFS(Лист2!$C:$C, Лист2!$A:$A, $A296, Лист2!$B:$B, $B296)</f>
        <v>19</v>
      </c>
      <c r="F296" s="3">
        <f>SUMIFS(Лист2!$D:$D, Лист2!$A:$A, $A296, Лист2!$B:$B, $B296)</f>
        <v>1868</v>
      </c>
      <c r="G296" s="3">
        <f>SUMIFS(Лист2!$E:$E, Лист2!$A:$A, $A296, Лист2!$B:$B, $B296)</f>
        <v>1706</v>
      </c>
      <c r="H296">
        <f>IFERROR(Таблица1[[#This Row],[Товарооборот, руб]]/Таблица1[[#This Row],[Количество складов]],0)</f>
        <v>132995.21052631579</v>
      </c>
      <c r="I296">
        <f t="shared" si="4"/>
        <v>22</v>
      </c>
    </row>
    <row r="297" spans="1:9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>
        <f>SUMIFS(Лист2!$C:$C, Лист2!$A:$A, $A297, Лист2!$B:$B, $B297)</f>
        <v>59</v>
      </c>
      <c r="F297" s="3">
        <f>SUMIFS(Лист2!$D:$D, Лист2!$A:$A, $A297, Лист2!$B:$B, $B297)</f>
        <v>13186</v>
      </c>
      <c r="G297" s="3">
        <f>SUMIFS(Лист2!$E:$E, Лист2!$A:$A, $A297, Лист2!$B:$B, $B297)</f>
        <v>12251</v>
      </c>
      <c r="H297">
        <f>IFERROR(Таблица1[[#This Row],[Товарооборот, руб]]/Таблица1[[#This Row],[Количество складов]],0)</f>
        <v>366361.57627118647</v>
      </c>
      <c r="I297">
        <f t="shared" si="4"/>
        <v>18</v>
      </c>
    </row>
    <row r="298" spans="1:9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>
        <f>SUMIFS(Лист2!$C:$C, Лист2!$A:$A, $A298, Лист2!$B:$B, $B298)</f>
        <v>59</v>
      </c>
      <c r="F298" s="3">
        <f>SUMIFS(Лист2!$D:$D, Лист2!$A:$A, $A298, Лист2!$B:$B, $B298)</f>
        <v>12943</v>
      </c>
      <c r="G298" s="3">
        <f>SUMIFS(Лист2!$E:$E, Лист2!$A:$A, $A298, Лист2!$B:$B, $B298)</f>
        <v>12072</v>
      </c>
      <c r="H298">
        <f>IFERROR(Таблица1[[#This Row],[Товарооборот, руб]]/Таблица1[[#This Row],[Количество складов]],0)</f>
        <v>357879.63559322036</v>
      </c>
      <c r="I298">
        <f t="shared" si="4"/>
        <v>18</v>
      </c>
    </row>
    <row r="299" spans="1:9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>
        <f>SUMIFS(Лист2!$C:$C, Лист2!$A:$A, $A299, Лист2!$B:$B, $B299)</f>
        <v>21</v>
      </c>
      <c r="F299" s="3">
        <f>SUMIFS(Лист2!$D:$D, Лист2!$A:$A, $A299, Лист2!$B:$B, $B299)</f>
        <v>2056</v>
      </c>
      <c r="G299" s="3">
        <f>SUMIFS(Лист2!$E:$E, Лист2!$A:$A, $A299, Лист2!$B:$B, $B299)</f>
        <v>1879</v>
      </c>
      <c r="H299">
        <f>IFERROR(Таблица1[[#This Row],[Товарооборот, руб]]/Таблица1[[#This Row],[Количество складов]],0)</f>
        <v>133063.07142857142</v>
      </c>
      <c r="I299">
        <f t="shared" si="4"/>
        <v>23</v>
      </c>
    </row>
    <row r="300" spans="1:9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>
        <f>SUMIFS(Лист2!$C:$C, Лист2!$A:$A, $A300, Лист2!$B:$B, $B300)</f>
        <v>20</v>
      </c>
      <c r="F300" s="3">
        <f>SUMIFS(Лист2!$D:$D, Лист2!$A:$A, $A300, Лист2!$B:$B, $B300)</f>
        <v>2174</v>
      </c>
      <c r="G300" s="3">
        <f>SUMIFS(Лист2!$E:$E, Лист2!$A:$A, $A300, Лист2!$B:$B, $B300)</f>
        <v>1957</v>
      </c>
      <c r="H300">
        <f>IFERROR(Таблица1[[#This Row],[Товарооборот, руб]]/Таблица1[[#This Row],[Количество складов]],0)</f>
        <v>150266.70000000001</v>
      </c>
      <c r="I300">
        <f t="shared" si="4"/>
        <v>23</v>
      </c>
    </row>
    <row r="301" spans="1:9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>
        <f>SUMIFS(Лист2!$C:$C, Лист2!$A:$A, $A301, Лист2!$B:$B, $B301)</f>
        <v>20</v>
      </c>
      <c r="F301" s="3">
        <f>SUMIFS(Лист2!$D:$D, Лист2!$A:$A, $A301, Лист2!$B:$B, $B301)</f>
        <v>1875</v>
      </c>
      <c r="G301" s="3">
        <f>SUMIFS(Лист2!$E:$E, Лист2!$A:$A, $A301, Лист2!$B:$B, $B301)</f>
        <v>1701</v>
      </c>
      <c r="H301">
        <f>IFERROR(Таблица1[[#This Row],[Товарооборот, руб]]/Таблица1[[#This Row],[Количество складов]],0)</f>
        <v>127960.575</v>
      </c>
      <c r="I301">
        <f t="shared" si="4"/>
        <v>22</v>
      </c>
    </row>
    <row r="302" spans="1:9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>
        <f>SUMIFS(Лист2!$C:$C, Лист2!$A:$A, $A302, Лист2!$B:$B, $B302)</f>
        <v>60</v>
      </c>
      <c r="F302" s="3">
        <f>SUMIFS(Лист2!$D:$D, Лист2!$A:$A, $A302, Лист2!$B:$B, $B302)</f>
        <v>14049</v>
      </c>
      <c r="G302" s="3">
        <f>SUMIFS(Лист2!$E:$E, Лист2!$A:$A, $A302, Лист2!$B:$B, $B302)</f>
        <v>13118</v>
      </c>
      <c r="H302">
        <f>IFERROR(Таблица1[[#This Row],[Товарооборот, руб]]/Таблица1[[#This Row],[Количество складов]],0)</f>
        <v>394823.05</v>
      </c>
      <c r="I302">
        <f t="shared" si="4"/>
        <v>21</v>
      </c>
    </row>
    <row r="303" spans="1:9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>
        <f>SUMIFS(Лист2!$C:$C, Лист2!$A:$A, $A303, Лист2!$B:$B, $B303)</f>
        <v>60</v>
      </c>
      <c r="F303" s="3">
        <f>SUMIFS(Лист2!$D:$D, Лист2!$A:$A, $A303, Лист2!$B:$B, $B303)</f>
        <v>13867</v>
      </c>
      <c r="G303" s="3">
        <f>SUMIFS(Лист2!$E:$E, Лист2!$A:$A, $A303, Лист2!$B:$B, $B303)</f>
        <v>12987</v>
      </c>
      <c r="H303">
        <f>IFERROR(Таблица1[[#This Row],[Товарооборот, руб]]/Таблица1[[#This Row],[Количество складов]],0)</f>
        <v>365764.3</v>
      </c>
      <c r="I303">
        <f t="shared" si="4"/>
        <v>21</v>
      </c>
    </row>
    <row r="304" spans="1:9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>
        <f>SUMIFS(Лист2!$C:$C, Лист2!$A:$A, $A304, Лист2!$B:$B, $B304)</f>
        <v>60</v>
      </c>
      <c r="F304" s="3">
        <f>SUMIFS(Лист2!$D:$D, Лист2!$A:$A, $A304, Лист2!$B:$B, $B304)</f>
        <v>11698</v>
      </c>
      <c r="G304" s="3">
        <f>SUMIFS(Лист2!$E:$E, Лист2!$A:$A, $A304, Лист2!$B:$B, $B304)</f>
        <v>10989</v>
      </c>
      <c r="H304">
        <f>IFERROR(Таблица1[[#This Row],[Товарооборот, руб]]/Таблица1[[#This Row],[Количество складов]],0)</f>
        <v>325773.09999999998</v>
      </c>
      <c r="I304">
        <f t="shared" si="4"/>
        <v>21</v>
      </c>
    </row>
    <row r="305" spans="1:9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>
        <f>SUMIFS(Лист2!$C:$C, Лист2!$A:$A, $A305, Лист2!$B:$B, $B305)</f>
        <v>59</v>
      </c>
      <c r="F305" s="3">
        <f>SUMIFS(Лист2!$D:$D, Лист2!$A:$A, $A305, Лист2!$B:$B, $B305)</f>
        <v>12016</v>
      </c>
      <c r="G305" s="3">
        <f>SUMIFS(Лист2!$E:$E, Лист2!$A:$A, $A305, Лист2!$B:$B, $B305)</f>
        <v>11137</v>
      </c>
      <c r="H305">
        <f>IFERROR(Таблица1[[#This Row],[Товарооборот, руб]]/Таблица1[[#This Row],[Количество складов]],0)</f>
        <v>325739.51694915252</v>
      </c>
      <c r="I305">
        <f t="shared" si="4"/>
        <v>20</v>
      </c>
    </row>
    <row r="306" spans="1:9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>
        <f>SUMIFS(Лист2!$C:$C, Лист2!$A:$A, $A306, Лист2!$B:$B, $B306)</f>
        <v>59</v>
      </c>
      <c r="F306" s="3">
        <f>SUMIFS(Лист2!$D:$D, Лист2!$A:$A, $A306, Лист2!$B:$B, $B306)</f>
        <v>14423</v>
      </c>
      <c r="G306" s="3">
        <f>SUMIFS(Лист2!$E:$E, Лист2!$A:$A, $A306, Лист2!$B:$B, $B306)</f>
        <v>13432</v>
      </c>
      <c r="H306">
        <f>IFERROR(Таблица1[[#This Row],[Товарооборот, руб]]/Таблица1[[#This Row],[Количество складов]],0)</f>
        <v>411732.50847457629</v>
      </c>
      <c r="I306">
        <f t="shared" si="4"/>
        <v>18</v>
      </c>
    </row>
    <row r="307" spans="1:9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>
        <f>SUMIFS(Лист2!$C:$C, Лист2!$A:$A, $A307, Лист2!$B:$B, $B307)</f>
        <v>54</v>
      </c>
      <c r="F307" s="3">
        <f>SUMIFS(Лист2!$D:$D, Лист2!$A:$A, $A307, Лист2!$B:$B, $B307)</f>
        <v>12747</v>
      </c>
      <c r="G307" s="3">
        <f>SUMIFS(Лист2!$E:$E, Лист2!$A:$A, $A307, Лист2!$B:$B, $B307)</f>
        <v>11884</v>
      </c>
      <c r="H307">
        <f>IFERROR(Таблица1[[#This Row],[Товарооборот, руб]]/Таблица1[[#This Row],[Количество складов]],0)</f>
        <v>386507.25</v>
      </c>
      <c r="I307">
        <f t="shared" si="4"/>
        <v>18</v>
      </c>
    </row>
    <row r="308" spans="1:9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>
        <f>SUMIFS(Лист2!$C:$C, Лист2!$A:$A, $A308, Лист2!$B:$B, $B308)</f>
        <v>59</v>
      </c>
      <c r="F308" s="3">
        <f>SUMIFS(Лист2!$D:$D, Лист2!$A:$A, $A308, Лист2!$B:$B, $B308)</f>
        <v>12429</v>
      </c>
      <c r="G308" s="3">
        <f>SUMIFS(Лист2!$E:$E, Лист2!$A:$A, $A308, Лист2!$B:$B, $B308)</f>
        <v>11477</v>
      </c>
      <c r="H308">
        <f>IFERROR(Таблица1[[#This Row],[Товарооборот, руб]]/Таблица1[[#This Row],[Количество складов]],0)</f>
        <v>332633.28813559323</v>
      </c>
      <c r="I308">
        <f t="shared" si="4"/>
        <v>19</v>
      </c>
    </row>
    <row r="309" spans="1:9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>
        <f>SUMIFS(Лист2!$C:$C, Лист2!$A:$A, $A309, Лист2!$B:$B, $B309)</f>
        <v>59</v>
      </c>
      <c r="F309" s="3">
        <f>SUMIFS(Лист2!$D:$D, Лист2!$A:$A, $A309, Лист2!$B:$B, $B309)</f>
        <v>15369</v>
      </c>
      <c r="G309" s="3">
        <f>SUMIFS(Лист2!$E:$E, Лист2!$A:$A, $A309, Лист2!$B:$B, $B309)</f>
        <v>14299</v>
      </c>
      <c r="H309">
        <f>IFERROR(Таблица1[[#This Row],[Товарооборот, руб]]/Таблица1[[#This Row],[Количество складов]],0)</f>
        <v>426498.83898305084</v>
      </c>
      <c r="I309">
        <f t="shared" si="4"/>
        <v>22</v>
      </c>
    </row>
    <row r="310" spans="1:9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>
        <f>SUMIFS(Лист2!$C:$C, Лист2!$A:$A, $A310, Лист2!$B:$B, $B310)</f>
        <v>59</v>
      </c>
      <c r="F310" s="3">
        <f>SUMIFS(Лист2!$D:$D, Лист2!$A:$A, $A310, Лист2!$B:$B, $B310)</f>
        <v>15222</v>
      </c>
      <c r="G310" s="3">
        <f>SUMIFS(Лист2!$E:$E, Лист2!$A:$A, $A310, Лист2!$B:$B, $B310)</f>
        <v>13873</v>
      </c>
      <c r="H310">
        <f>IFERROR(Таблица1[[#This Row],[Товарооборот, руб]]/Таблица1[[#This Row],[Количество складов]],0)</f>
        <v>430734.76271186443</v>
      </c>
      <c r="I310">
        <f t="shared" si="4"/>
        <v>18</v>
      </c>
    </row>
    <row r="311" spans="1:9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>
        <f>SUMIFS(Лист2!$C:$C, Лист2!$A:$A, $A311, Лист2!$B:$B, $B311)</f>
        <v>60</v>
      </c>
      <c r="F311" s="3">
        <f>SUMIFS(Лист2!$D:$D, Лист2!$A:$A, $A311, Лист2!$B:$B, $B311)</f>
        <v>12000</v>
      </c>
      <c r="G311" s="3">
        <f>SUMIFS(Лист2!$E:$E, Лист2!$A:$A, $A311, Лист2!$B:$B, $B311)</f>
        <v>11194</v>
      </c>
      <c r="H311">
        <f>IFERROR(Таблица1[[#This Row],[Товарооборот, руб]]/Таблица1[[#This Row],[Количество складов]],0)</f>
        <v>320086.32500000001</v>
      </c>
      <c r="I311">
        <f t="shared" si="4"/>
        <v>20</v>
      </c>
    </row>
    <row r="312" spans="1:9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>
        <f>SUMIFS(Лист2!$C:$C, Лист2!$A:$A, $A312, Лист2!$B:$B, $B312)</f>
        <v>60</v>
      </c>
      <c r="F312" s="3">
        <f>SUMIFS(Лист2!$D:$D, Лист2!$A:$A, $A312, Лист2!$B:$B, $B312)</f>
        <v>14005</v>
      </c>
      <c r="G312" s="3">
        <f>SUMIFS(Лист2!$E:$E, Лист2!$A:$A, $A312, Лист2!$B:$B, $B312)</f>
        <v>13002</v>
      </c>
      <c r="H312">
        <f>IFERROR(Таблица1[[#This Row],[Товарооборот, руб]]/Таблица1[[#This Row],[Количество складов]],0)</f>
        <v>370888.25</v>
      </c>
      <c r="I312">
        <f t="shared" si="4"/>
        <v>21</v>
      </c>
    </row>
    <row r="313" spans="1:9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>
        <f>SUMIFS(Лист2!$C:$C, Лист2!$A:$A, $A313, Лист2!$B:$B, $B313)</f>
        <v>60</v>
      </c>
      <c r="F313" s="3">
        <f>SUMIFS(Лист2!$D:$D, Лист2!$A:$A, $A313, Лист2!$B:$B, $B313)</f>
        <v>13792</v>
      </c>
      <c r="G313" s="3">
        <f>SUMIFS(Лист2!$E:$E, Лист2!$A:$A, $A313, Лист2!$B:$B, $B313)</f>
        <v>12834</v>
      </c>
      <c r="H313">
        <f>IFERROR(Таблица1[[#This Row],[Товарооборот, руб]]/Таблица1[[#This Row],[Количество складов]],0)</f>
        <v>365988.1</v>
      </c>
      <c r="I313">
        <f t="shared" si="4"/>
        <v>21</v>
      </c>
    </row>
    <row r="314" spans="1:9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>
        <f>SUMIFS(Лист2!$C:$C, Лист2!$A:$A, $A314, Лист2!$B:$B, $B314)</f>
        <v>59</v>
      </c>
      <c r="F314" s="3">
        <f>SUMIFS(Лист2!$D:$D, Лист2!$A:$A, $A314, Лист2!$B:$B, $B314)</f>
        <v>13469</v>
      </c>
      <c r="G314" s="3">
        <f>SUMIFS(Лист2!$E:$E, Лист2!$A:$A, $A314, Лист2!$B:$B, $B314)</f>
        <v>12486</v>
      </c>
      <c r="H314">
        <f>IFERROR(Таблица1[[#This Row],[Товарооборот, руб]]/Таблица1[[#This Row],[Количество складов]],0)</f>
        <v>371515.85593220341</v>
      </c>
      <c r="I314">
        <f t="shared" si="4"/>
        <v>19</v>
      </c>
    </row>
    <row r="315" spans="1:9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>
        <f>SUMIFS(Лист2!$C:$C, Лист2!$A:$A, $A315, Лист2!$B:$B, $B315)</f>
        <v>54</v>
      </c>
      <c r="F315" s="3">
        <f>SUMIFS(Лист2!$D:$D, Лист2!$A:$A, $A315, Лист2!$B:$B, $B315)</f>
        <v>12306</v>
      </c>
      <c r="G315" s="3">
        <f>SUMIFS(Лист2!$E:$E, Лист2!$A:$A, $A315, Лист2!$B:$B, $B315)</f>
        <v>11532</v>
      </c>
      <c r="H315">
        <f>IFERROR(Таблица1[[#This Row],[Товарооборот, руб]]/Таблица1[[#This Row],[Количество складов]],0)</f>
        <v>370430.80555555556</v>
      </c>
      <c r="I315">
        <f t="shared" si="4"/>
        <v>18</v>
      </c>
    </row>
    <row r="316" spans="1:9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>
        <f>SUMIFS(Лист2!$C:$C, Лист2!$A:$A, $A316, Лист2!$B:$B, $B316)</f>
        <v>60</v>
      </c>
      <c r="F316" s="3">
        <f>SUMIFS(Лист2!$D:$D, Лист2!$A:$A, $A316, Лист2!$B:$B, $B316)</f>
        <v>12007</v>
      </c>
      <c r="G316" s="3">
        <f>SUMIFS(Лист2!$E:$E, Лист2!$A:$A, $A316, Лист2!$B:$B, $B316)</f>
        <v>11245</v>
      </c>
      <c r="H316">
        <f>IFERROR(Таблица1[[#This Row],[Товарооборот, руб]]/Таблица1[[#This Row],[Количество складов]],0)</f>
        <v>323954.55</v>
      </c>
      <c r="I316">
        <f t="shared" si="4"/>
        <v>20</v>
      </c>
    </row>
    <row r="317" spans="1:9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>
        <f>SUMIFS(Лист2!$C:$C, Лист2!$A:$A, $A317, Лист2!$B:$B, $B317)</f>
        <v>59</v>
      </c>
      <c r="F317" s="3">
        <f>SUMIFS(Лист2!$D:$D, Лист2!$A:$A, $A317, Лист2!$B:$B, $B317)</f>
        <v>15277</v>
      </c>
      <c r="G317" s="3">
        <f>SUMIFS(Лист2!$E:$E, Лист2!$A:$A, $A317, Лист2!$B:$B, $B317)</f>
        <v>14163</v>
      </c>
      <c r="H317">
        <f>IFERROR(Таблица1[[#This Row],[Товарооборот, руб]]/Таблица1[[#This Row],[Количество складов]],0)</f>
        <v>449021.66949152545</v>
      </c>
      <c r="I317">
        <f t="shared" si="4"/>
        <v>19</v>
      </c>
    </row>
    <row r="318" spans="1:9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>
        <f>SUMIFS(Лист2!$C:$C, Лист2!$A:$A, $A318, Лист2!$B:$B, $B318)</f>
        <v>59</v>
      </c>
      <c r="F318" s="3">
        <f>SUMIFS(Лист2!$D:$D, Лист2!$A:$A, $A318, Лист2!$B:$B, $B318)</f>
        <v>14103</v>
      </c>
      <c r="G318" s="3">
        <f>SUMIFS(Лист2!$E:$E, Лист2!$A:$A, $A318, Лист2!$B:$B, $B318)</f>
        <v>13118</v>
      </c>
      <c r="H318">
        <f>IFERROR(Таблица1[[#This Row],[Товарооборот, руб]]/Таблица1[[#This Row],[Количество складов]],0)</f>
        <v>390389.69491525425</v>
      </c>
      <c r="I318">
        <f t="shared" si="4"/>
        <v>19</v>
      </c>
    </row>
    <row r="319" spans="1:9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>
        <f>SUMIFS(Лист2!$C:$C, Лист2!$A:$A, $A319, Лист2!$B:$B, $B319)</f>
        <v>60</v>
      </c>
      <c r="F319" s="3">
        <f>SUMIFS(Лист2!$D:$D, Лист2!$A:$A, $A319, Лист2!$B:$B, $B319)</f>
        <v>17295</v>
      </c>
      <c r="G319" s="3">
        <f>SUMIFS(Лист2!$E:$E, Лист2!$A:$A, $A319, Лист2!$B:$B, $B319)</f>
        <v>16010</v>
      </c>
      <c r="H319">
        <f>IFERROR(Таблица1[[#This Row],[Товарооборот, руб]]/Таблица1[[#This Row],[Количество складов]],0)</f>
        <v>476515.17499999999</v>
      </c>
      <c r="I319">
        <f t="shared" si="4"/>
        <v>22</v>
      </c>
    </row>
    <row r="320" spans="1:9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>
        <f>SUMIFS(Лист2!$C:$C, Лист2!$A:$A, $A320, Лист2!$B:$B, $B320)</f>
        <v>59</v>
      </c>
      <c r="F320" s="3">
        <f>SUMIFS(Лист2!$D:$D, Лист2!$A:$A, $A320, Лист2!$B:$B, $B320)</f>
        <v>12983</v>
      </c>
      <c r="G320" s="3">
        <f>SUMIFS(Лист2!$E:$E, Лист2!$A:$A, $A320, Лист2!$B:$B, $B320)</f>
        <v>12056</v>
      </c>
      <c r="H320">
        <f>IFERROR(Таблица1[[#This Row],[Товарооборот, руб]]/Таблица1[[#This Row],[Количество складов]],0)</f>
        <v>348860.05932203389</v>
      </c>
      <c r="I320">
        <f t="shared" si="4"/>
        <v>21</v>
      </c>
    </row>
    <row r="321" spans="1:9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>
        <f>SUMIFS(Лист2!$C:$C, Лист2!$A:$A, $A321, Лист2!$B:$B, $B321)</f>
        <v>59</v>
      </c>
      <c r="F321" s="3">
        <f>SUMIFS(Лист2!$D:$D, Лист2!$A:$A, $A321, Лист2!$B:$B, $B321)</f>
        <v>13251</v>
      </c>
      <c r="G321" s="3">
        <f>SUMIFS(Лист2!$E:$E, Лист2!$A:$A, $A321, Лист2!$B:$B, $B321)</f>
        <v>12255</v>
      </c>
      <c r="H321">
        <f>IFERROR(Таблица1[[#This Row],[Товарооборот, руб]]/Таблица1[[#This Row],[Количество складов]],0)</f>
        <v>381864.40677966102</v>
      </c>
      <c r="I321">
        <f t="shared" si="4"/>
        <v>18</v>
      </c>
    </row>
    <row r="322" spans="1:9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>
        <f>SUMIFS(Лист2!$C:$C, Лист2!$A:$A, $A322, Лист2!$B:$B, $B322)</f>
        <v>59</v>
      </c>
      <c r="F322" s="3">
        <f>SUMIFS(Лист2!$D:$D, Лист2!$A:$A, $A322, Лист2!$B:$B, $B322)</f>
        <v>14569</v>
      </c>
      <c r="G322" s="3">
        <f>SUMIFS(Лист2!$E:$E, Лист2!$A:$A, $A322, Лист2!$B:$B, $B322)</f>
        <v>13566</v>
      </c>
      <c r="H322">
        <f>IFERROR(Таблица1[[#This Row],[Товарооборот, руб]]/Таблица1[[#This Row],[Количество складов]],0)</f>
        <v>421871.26271186443</v>
      </c>
      <c r="I322">
        <f t="shared" ref="I322:I385" si="5">INT((A322-DATE(YEAR(A322),1,1)+WEEKDAY(A322,2)+6)/7)</f>
        <v>20</v>
      </c>
    </row>
    <row r="323" spans="1:9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>
        <f>SUMIFS(Лист2!$C:$C, Лист2!$A:$A, $A323, Лист2!$B:$B, $B323)</f>
        <v>59</v>
      </c>
      <c r="F323" s="3">
        <f>SUMIFS(Лист2!$D:$D, Лист2!$A:$A, $A323, Лист2!$B:$B, $B323)</f>
        <v>14098</v>
      </c>
      <c r="G323" s="3">
        <f>SUMIFS(Лист2!$E:$E, Лист2!$A:$A, $A323, Лист2!$B:$B, $B323)</f>
        <v>13106</v>
      </c>
      <c r="H323">
        <f>IFERROR(Таблица1[[#This Row],[Товарооборот, руб]]/Таблица1[[#This Row],[Количество складов]],0)</f>
        <v>404778.78813559323</v>
      </c>
      <c r="I323">
        <f t="shared" si="5"/>
        <v>19</v>
      </c>
    </row>
    <row r="324" spans="1:9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>
        <f>SUMIFS(Лист2!$C:$C, Лист2!$A:$A, $A324, Лист2!$B:$B, $B324)</f>
        <v>59</v>
      </c>
      <c r="F324" s="3">
        <f>SUMIFS(Лист2!$D:$D, Лист2!$A:$A, $A324, Лист2!$B:$B, $B324)</f>
        <v>13495</v>
      </c>
      <c r="G324" s="3">
        <f>SUMIFS(Лист2!$E:$E, Лист2!$A:$A, $A324, Лист2!$B:$B, $B324)</f>
        <v>12517</v>
      </c>
      <c r="H324">
        <f>IFERROR(Таблица1[[#This Row],[Товарооборот, руб]]/Таблица1[[#This Row],[Количество складов]],0)</f>
        <v>380680.16949152545</v>
      </c>
      <c r="I324">
        <f t="shared" si="5"/>
        <v>19</v>
      </c>
    </row>
    <row r="325" spans="1:9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>
        <f>SUMIFS(Лист2!$C:$C, Лист2!$A:$A, $A325, Лист2!$B:$B, $B325)</f>
        <v>60</v>
      </c>
      <c r="F325" s="3">
        <f>SUMIFS(Лист2!$D:$D, Лист2!$A:$A, $A325, Лист2!$B:$B, $B325)</f>
        <v>12822</v>
      </c>
      <c r="G325" s="3">
        <f>SUMIFS(Лист2!$E:$E, Лист2!$A:$A, $A325, Лист2!$B:$B, $B325)</f>
        <v>11916</v>
      </c>
      <c r="H325">
        <f>IFERROR(Таблица1[[#This Row],[Товарооборот, руб]]/Таблица1[[#This Row],[Количество складов]],0)</f>
        <v>332663.34999999998</v>
      </c>
      <c r="I325">
        <f t="shared" si="5"/>
        <v>22</v>
      </c>
    </row>
    <row r="326" spans="1:9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>
        <f>SUMIFS(Лист2!$C:$C, Лист2!$A:$A, $A326, Лист2!$B:$B, $B326)</f>
        <v>54</v>
      </c>
      <c r="F326" s="3">
        <f>SUMIFS(Лист2!$D:$D, Лист2!$A:$A, $A326, Лист2!$B:$B, $B326)</f>
        <v>13170</v>
      </c>
      <c r="G326" s="3">
        <f>SUMIFS(Лист2!$E:$E, Лист2!$A:$A, $A326, Лист2!$B:$B, $B326)</f>
        <v>12299</v>
      </c>
      <c r="H326">
        <f>IFERROR(Таблица1[[#This Row],[Товарооборот, руб]]/Таблица1[[#This Row],[Количество складов]],0)</f>
        <v>413987.75</v>
      </c>
      <c r="I326">
        <f t="shared" si="5"/>
        <v>21</v>
      </c>
    </row>
    <row r="327" spans="1:9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>
        <f>SUMIFS(Лист2!$C:$C, Лист2!$A:$A, $A327, Лист2!$B:$B, $B327)</f>
        <v>54</v>
      </c>
      <c r="F327" s="3">
        <f>SUMIFS(Лист2!$D:$D, Лист2!$A:$A, $A327, Лист2!$B:$B, $B327)</f>
        <v>13070</v>
      </c>
      <c r="G327" s="3">
        <f>SUMIFS(Лист2!$E:$E, Лист2!$A:$A, $A327, Лист2!$B:$B, $B327)</f>
        <v>12244</v>
      </c>
      <c r="H327">
        <f>IFERROR(Таблица1[[#This Row],[Товарооборот, руб]]/Таблица1[[#This Row],[Количество складов]],0)</f>
        <v>381297.63888888888</v>
      </c>
      <c r="I327">
        <f t="shared" si="5"/>
        <v>21</v>
      </c>
    </row>
    <row r="328" spans="1:9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>
        <f>SUMIFS(Лист2!$C:$C, Лист2!$A:$A, $A328, Лист2!$B:$B, $B328)</f>
        <v>54</v>
      </c>
      <c r="F328" s="3">
        <f>SUMIFS(Лист2!$D:$D, Лист2!$A:$A, $A328, Лист2!$B:$B, $B328)</f>
        <v>11128</v>
      </c>
      <c r="G328" s="3">
        <f>SUMIFS(Лист2!$E:$E, Лист2!$A:$A, $A328, Лист2!$B:$B, $B328)</f>
        <v>10467</v>
      </c>
      <c r="H328">
        <f>IFERROR(Таблица1[[#This Row],[Товарооборот, руб]]/Таблица1[[#This Row],[Количество складов]],0)</f>
        <v>341649.83333333331</v>
      </c>
      <c r="I328">
        <f t="shared" si="5"/>
        <v>21</v>
      </c>
    </row>
    <row r="329" spans="1:9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>
        <f>SUMIFS(Лист2!$C:$C, Лист2!$A:$A, $A329, Лист2!$B:$B, $B329)</f>
        <v>54</v>
      </c>
      <c r="F329" s="3">
        <f>SUMIFS(Лист2!$D:$D, Лист2!$A:$A, $A329, Лист2!$B:$B, $B329)</f>
        <v>11288</v>
      </c>
      <c r="G329" s="3">
        <f>SUMIFS(Лист2!$E:$E, Лист2!$A:$A, $A329, Лист2!$B:$B, $B329)</f>
        <v>10492</v>
      </c>
      <c r="H329">
        <f>IFERROR(Таблица1[[#This Row],[Товарооборот, руб]]/Таблица1[[#This Row],[Количество складов]],0)</f>
        <v>334922.19444444444</v>
      </c>
      <c r="I329">
        <f t="shared" si="5"/>
        <v>20</v>
      </c>
    </row>
    <row r="330" spans="1:9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>
        <f>SUMIFS(Лист2!$C:$C, Лист2!$A:$A, $A330, Лист2!$B:$B, $B330)</f>
        <v>54</v>
      </c>
      <c r="F330" s="3">
        <f>SUMIFS(Лист2!$D:$D, Лист2!$A:$A, $A330, Лист2!$B:$B, $B330)</f>
        <v>13606</v>
      </c>
      <c r="G330" s="3">
        <f>SUMIFS(Лист2!$E:$E, Лист2!$A:$A, $A330, Лист2!$B:$B, $B330)</f>
        <v>12697</v>
      </c>
      <c r="H330">
        <f>IFERROR(Таблица1[[#This Row],[Товарооборот, руб]]/Таблица1[[#This Row],[Количество складов]],0)</f>
        <v>422163.47222222225</v>
      </c>
      <c r="I330">
        <f t="shared" si="5"/>
        <v>18</v>
      </c>
    </row>
    <row r="331" spans="1:9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>
        <f>SUMIFS(Лист2!$C:$C, Лист2!$A:$A, $A331, Лист2!$B:$B, $B331)</f>
        <v>54</v>
      </c>
      <c r="F331" s="3">
        <f>SUMIFS(Лист2!$D:$D, Лист2!$A:$A, $A331, Лист2!$B:$B, $B331)</f>
        <v>11622</v>
      </c>
      <c r="G331" s="3">
        <f>SUMIFS(Лист2!$E:$E, Лист2!$A:$A, $A331, Лист2!$B:$B, $B331)</f>
        <v>10754</v>
      </c>
      <c r="H331">
        <f>IFERROR(Таблица1[[#This Row],[Товарооборот, руб]]/Таблица1[[#This Row],[Количество складов]],0)</f>
        <v>344924.47222222225</v>
      </c>
      <c r="I331">
        <f t="shared" si="5"/>
        <v>19</v>
      </c>
    </row>
    <row r="332" spans="1:9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>
        <f>SUMIFS(Лист2!$C:$C, Лист2!$A:$A, $A332, Лист2!$B:$B, $B332)</f>
        <v>54</v>
      </c>
      <c r="F332" s="3">
        <f>SUMIFS(Лист2!$D:$D, Лист2!$A:$A, $A332, Лист2!$B:$B, $B332)</f>
        <v>14482</v>
      </c>
      <c r="G332" s="3">
        <f>SUMIFS(Лист2!$E:$E, Лист2!$A:$A, $A332, Лист2!$B:$B, $B332)</f>
        <v>13510</v>
      </c>
      <c r="H332">
        <f>IFERROR(Таблица1[[#This Row],[Товарооборот, руб]]/Таблица1[[#This Row],[Количество складов]],0)</f>
        <v>441784.16666666669</v>
      </c>
      <c r="I332">
        <f t="shared" si="5"/>
        <v>22</v>
      </c>
    </row>
    <row r="333" spans="1:9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>
        <f>SUMIFS(Лист2!$C:$C, Лист2!$A:$A, $A333, Лист2!$B:$B, $B333)</f>
        <v>54</v>
      </c>
      <c r="F333" s="3">
        <f>SUMIFS(Лист2!$D:$D, Лист2!$A:$A, $A333, Лист2!$B:$B, $B333)</f>
        <v>14205</v>
      </c>
      <c r="G333" s="3">
        <f>SUMIFS(Лист2!$E:$E, Лист2!$A:$A, $A333, Лист2!$B:$B, $B333)</f>
        <v>13026</v>
      </c>
      <c r="H333">
        <f>IFERROR(Таблица1[[#This Row],[Товарооборот, руб]]/Таблица1[[#This Row],[Количество складов]],0)</f>
        <v>443584</v>
      </c>
      <c r="I333">
        <f t="shared" si="5"/>
        <v>18</v>
      </c>
    </row>
    <row r="334" spans="1:9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>
        <f>SUMIFS(Лист2!$C:$C, Лист2!$A:$A, $A334, Лист2!$B:$B, $B334)</f>
        <v>54</v>
      </c>
      <c r="F334" s="3">
        <f>SUMIFS(Лист2!$D:$D, Лист2!$A:$A, $A334, Лист2!$B:$B, $B334)</f>
        <v>11614</v>
      </c>
      <c r="G334" s="3">
        <f>SUMIFS(Лист2!$E:$E, Лист2!$A:$A, $A334, Лист2!$B:$B, $B334)</f>
        <v>10862</v>
      </c>
      <c r="H334">
        <f>IFERROR(Таблица1[[#This Row],[Товарооборот, руб]]/Таблица1[[#This Row],[Количество складов]],0)</f>
        <v>346630.30555555556</v>
      </c>
      <c r="I334">
        <f t="shared" si="5"/>
        <v>20</v>
      </c>
    </row>
    <row r="335" spans="1:9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>
        <f>SUMIFS(Лист2!$C:$C, Лист2!$A:$A, $A335, Лист2!$B:$B, $B335)</f>
        <v>54</v>
      </c>
      <c r="F335" s="3">
        <f>SUMIFS(Лист2!$D:$D, Лист2!$A:$A, $A335, Лист2!$B:$B, $B335)</f>
        <v>13240</v>
      </c>
      <c r="G335" s="3">
        <f>SUMIFS(Лист2!$E:$E, Лист2!$A:$A, $A335, Лист2!$B:$B, $B335)</f>
        <v>12360</v>
      </c>
      <c r="H335">
        <f>IFERROR(Таблица1[[#This Row],[Товарооборот, руб]]/Таблица1[[#This Row],[Количество складов]],0)</f>
        <v>389679.13888888888</v>
      </c>
      <c r="I335">
        <f t="shared" si="5"/>
        <v>21</v>
      </c>
    </row>
    <row r="336" spans="1:9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>
        <f>SUMIFS(Лист2!$C:$C, Лист2!$A:$A, $A336, Лист2!$B:$B, $B336)</f>
        <v>54</v>
      </c>
      <c r="F336" s="3">
        <f>SUMIFS(Лист2!$D:$D, Лист2!$A:$A, $A336, Лист2!$B:$B, $B336)</f>
        <v>13298</v>
      </c>
      <c r="G336" s="3">
        <f>SUMIFS(Лист2!$E:$E, Лист2!$A:$A, $A336, Лист2!$B:$B, $B336)</f>
        <v>12428</v>
      </c>
      <c r="H336">
        <f>IFERROR(Таблица1[[#This Row],[Товарооборот, руб]]/Таблица1[[#This Row],[Количество складов]],0)</f>
        <v>396506.47222222225</v>
      </c>
      <c r="I336">
        <f t="shared" si="5"/>
        <v>21</v>
      </c>
    </row>
    <row r="337" spans="1:9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>
        <f>SUMIFS(Лист2!$C:$C, Лист2!$A:$A, $A337, Лист2!$B:$B, $B337)</f>
        <v>54</v>
      </c>
      <c r="F337" s="3">
        <f>SUMIFS(Лист2!$D:$D, Лист2!$A:$A, $A337, Лист2!$B:$B, $B337)</f>
        <v>12775</v>
      </c>
      <c r="G337" s="3">
        <f>SUMIFS(Лист2!$E:$E, Лист2!$A:$A, $A337, Лист2!$B:$B, $B337)</f>
        <v>11887</v>
      </c>
      <c r="H337">
        <f>IFERROR(Таблица1[[#This Row],[Товарооборот, руб]]/Таблица1[[#This Row],[Количество складов]],0)</f>
        <v>386669.30555555556</v>
      </c>
      <c r="I337">
        <f t="shared" si="5"/>
        <v>19</v>
      </c>
    </row>
    <row r="338" spans="1:9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>
        <f>SUMIFS(Лист2!$C:$C, Лист2!$A:$A, $A338, Лист2!$B:$B, $B338)</f>
        <v>54</v>
      </c>
      <c r="F338" s="3">
        <f>SUMIFS(Лист2!$D:$D, Лист2!$A:$A, $A338, Лист2!$B:$B, $B338)</f>
        <v>11522</v>
      </c>
      <c r="G338" s="3">
        <f>SUMIFS(Лист2!$E:$E, Лист2!$A:$A, $A338, Лист2!$B:$B, $B338)</f>
        <v>10803</v>
      </c>
      <c r="H338">
        <f>IFERROR(Таблица1[[#This Row],[Товарооборот, руб]]/Таблица1[[#This Row],[Количество складов]],0)</f>
        <v>347851.86111111112</v>
      </c>
      <c r="I338">
        <f t="shared" si="5"/>
        <v>20</v>
      </c>
    </row>
    <row r="339" spans="1:9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>
        <f>SUMIFS(Лист2!$C:$C, Лист2!$A:$A, $A339, Лист2!$B:$B, $B339)</f>
        <v>59</v>
      </c>
      <c r="F339" s="3">
        <f>SUMIFS(Лист2!$D:$D, Лист2!$A:$A, $A339, Лист2!$B:$B, $B339)</f>
        <v>13684</v>
      </c>
      <c r="G339" s="3">
        <f>SUMIFS(Лист2!$E:$E, Лист2!$A:$A, $A339, Лист2!$B:$B, $B339)</f>
        <v>12690</v>
      </c>
      <c r="H339">
        <f>IFERROR(Таблица1[[#This Row],[Товарооборот, руб]]/Таблица1[[#This Row],[Количество складов]],0)</f>
        <v>365852.82203389832</v>
      </c>
      <c r="I339">
        <f t="shared" si="5"/>
        <v>23</v>
      </c>
    </row>
    <row r="340" spans="1:9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>
        <f>SUMIFS(Лист2!$C:$C, Лист2!$A:$A, $A340, Лист2!$B:$B, $B340)</f>
        <v>54</v>
      </c>
      <c r="F340" s="3">
        <f>SUMIFS(Лист2!$D:$D, Лист2!$A:$A, $A340, Лист2!$B:$B, $B340)</f>
        <v>14823</v>
      </c>
      <c r="G340" s="3">
        <f>SUMIFS(Лист2!$E:$E, Лист2!$A:$A, $A340, Лист2!$B:$B, $B340)</f>
        <v>13751</v>
      </c>
      <c r="H340">
        <f>IFERROR(Таблица1[[#This Row],[Товарооборот, руб]]/Таблица1[[#This Row],[Количество складов]],0)</f>
        <v>472575.41666666669</v>
      </c>
      <c r="I340">
        <f t="shared" si="5"/>
        <v>19</v>
      </c>
    </row>
    <row r="341" spans="1:9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>
        <f>SUMIFS(Лист2!$C:$C, Лист2!$A:$A, $A341, Лист2!$B:$B, $B341)</f>
        <v>59</v>
      </c>
      <c r="F341" s="3">
        <f>SUMIFS(Лист2!$D:$D, Лист2!$A:$A, $A341, Лист2!$B:$B, $B341)</f>
        <v>15030</v>
      </c>
      <c r="G341" s="3">
        <f>SUMIFS(Лист2!$E:$E, Лист2!$A:$A, $A341, Лист2!$B:$B, $B341)</f>
        <v>13956</v>
      </c>
      <c r="H341">
        <f>IFERROR(Таблица1[[#This Row],[Товарооборот, руб]]/Таблица1[[#This Row],[Количество складов]],0)</f>
        <v>415716.0254237288</v>
      </c>
      <c r="I341">
        <f t="shared" si="5"/>
        <v>23</v>
      </c>
    </row>
    <row r="342" spans="1:9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>
        <f>SUMIFS(Лист2!$C:$C, Лист2!$A:$A, $A342, Лист2!$B:$B, $B342)</f>
        <v>54</v>
      </c>
      <c r="F342" s="3">
        <f>SUMIFS(Лист2!$D:$D, Лист2!$A:$A, $A342, Лист2!$B:$B, $B342)</f>
        <v>13406</v>
      </c>
      <c r="G342" s="3">
        <f>SUMIFS(Лист2!$E:$E, Лист2!$A:$A, $A342, Лист2!$B:$B, $B342)</f>
        <v>12518</v>
      </c>
      <c r="H342">
        <f>IFERROR(Таблица1[[#This Row],[Товарооборот, руб]]/Таблица1[[#This Row],[Количество складов]],0)</f>
        <v>409748.97222222225</v>
      </c>
      <c r="I342">
        <f t="shared" si="5"/>
        <v>19</v>
      </c>
    </row>
    <row r="343" spans="1:9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>
        <f>SUMIFS(Лист2!$C:$C, Лист2!$A:$A, $A343, Лист2!$B:$B, $B343)</f>
        <v>54</v>
      </c>
      <c r="F343" s="3">
        <f>SUMIFS(Лист2!$D:$D, Лист2!$A:$A, $A343, Лист2!$B:$B, $B343)</f>
        <v>16221</v>
      </c>
      <c r="G343" s="3">
        <f>SUMIFS(Лист2!$E:$E, Лист2!$A:$A, $A343, Лист2!$B:$B, $B343)</f>
        <v>15065</v>
      </c>
      <c r="H343">
        <f>IFERROR(Таблица1[[#This Row],[Товарооборот, руб]]/Таблица1[[#This Row],[Количество складов]],0)</f>
        <v>496419</v>
      </c>
      <c r="I343">
        <f t="shared" si="5"/>
        <v>22</v>
      </c>
    </row>
    <row r="344" spans="1:9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>
        <f>SUMIFS(Лист2!$C:$C, Лист2!$A:$A, $A344, Лист2!$B:$B, $B344)</f>
        <v>60</v>
      </c>
      <c r="F344" s="3">
        <f>SUMIFS(Лист2!$D:$D, Лист2!$A:$A, $A344, Лист2!$B:$B, $B344)</f>
        <v>12854</v>
      </c>
      <c r="G344" s="3">
        <f>SUMIFS(Лист2!$E:$E, Лист2!$A:$A, $A344, Лист2!$B:$B, $B344)</f>
        <v>11954</v>
      </c>
      <c r="H344">
        <f>IFERROR(Таблица1[[#This Row],[Товарооборот, руб]]/Таблица1[[#This Row],[Количество складов]],0)</f>
        <v>342262.22499999998</v>
      </c>
      <c r="I344">
        <f t="shared" si="5"/>
        <v>22</v>
      </c>
    </row>
    <row r="345" spans="1:9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>
        <f>SUMIFS(Лист2!$C:$C, Лист2!$A:$A, $A345, Лист2!$B:$B, $B345)</f>
        <v>54</v>
      </c>
      <c r="F345" s="3">
        <f>SUMIFS(Лист2!$D:$D, Лист2!$A:$A, $A345, Лист2!$B:$B, $B345)</f>
        <v>12336</v>
      </c>
      <c r="G345" s="3">
        <f>SUMIFS(Лист2!$E:$E, Лист2!$A:$A, $A345, Лист2!$B:$B, $B345)</f>
        <v>11519</v>
      </c>
      <c r="H345">
        <f>IFERROR(Таблица1[[#This Row],[Товарооборот, руб]]/Таблица1[[#This Row],[Количество складов]],0)</f>
        <v>366794.94444444444</v>
      </c>
      <c r="I345">
        <f t="shared" si="5"/>
        <v>21</v>
      </c>
    </row>
    <row r="346" spans="1:9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>
        <f>SUMIFS(Лист2!$C:$C, Лист2!$A:$A, $A346, Лист2!$B:$B, $B346)</f>
        <v>54</v>
      </c>
      <c r="F346" s="3">
        <f>SUMIFS(Лист2!$D:$D, Лист2!$A:$A, $A346, Лист2!$B:$B, $B346)</f>
        <v>12817</v>
      </c>
      <c r="G346" s="3">
        <f>SUMIFS(Лист2!$E:$E, Лист2!$A:$A, $A346, Лист2!$B:$B, $B346)</f>
        <v>11865</v>
      </c>
      <c r="H346">
        <f>IFERROR(Таблица1[[#This Row],[Товарооборот, руб]]/Таблица1[[#This Row],[Количество складов]],0)</f>
        <v>402601.11111111112</v>
      </c>
      <c r="I346">
        <f t="shared" si="5"/>
        <v>18</v>
      </c>
    </row>
    <row r="347" spans="1:9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>
        <f>SUMIFS(Лист2!$C:$C, Лист2!$A:$A, $A347, Лист2!$B:$B, $B347)</f>
        <v>54</v>
      </c>
      <c r="F347" s="3">
        <f>SUMIFS(Лист2!$D:$D, Лист2!$A:$A, $A347, Лист2!$B:$B, $B347)</f>
        <v>13832</v>
      </c>
      <c r="G347" s="3">
        <f>SUMIFS(Лист2!$E:$E, Лист2!$A:$A, $A347, Лист2!$B:$B, $B347)</f>
        <v>12864</v>
      </c>
      <c r="H347">
        <f>IFERROR(Таблица1[[#This Row],[Товарооборот, руб]]/Таблица1[[#This Row],[Количество складов]],0)</f>
        <v>434143.05555555556</v>
      </c>
      <c r="I347">
        <f t="shared" si="5"/>
        <v>20</v>
      </c>
    </row>
    <row r="348" spans="1:9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>
        <f>SUMIFS(Лист2!$C:$C, Лист2!$A:$A, $A348, Лист2!$B:$B, $B348)</f>
        <v>54</v>
      </c>
      <c r="F348" s="3">
        <f>SUMIFS(Лист2!$D:$D, Лист2!$A:$A, $A348, Лист2!$B:$B, $B348)</f>
        <v>13563</v>
      </c>
      <c r="G348" s="3">
        <f>SUMIFS(Лист2!$E:$E, Лист2!$A:$A, $A348, Лист2!$B:$B, $B348)</f>
        <v>12604</v>
      </c>
      <c r="H348">
        <f>IFERROR(Таблица1[[#This Row],[Товарооборот, руб]]/Таблица1[[#This Row],[Количество складов]],0)</f>
        <v>423075.52777777775</v>
      </c>
      <c r="I348">
        <f t="shared" si="5"/>
        <v>19</v>
      </c>
    </row>
    <row r="349" spans="1:9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>
        <f>SUMIFS(Лист2!$C:$C, Лист2!$A:$A, $A349, Лист2!$B:$B, $B349)</f>
        <v>54</v>
      </c>
      <c r="F349" s="3">
        <f>SUMIFS(Лист2!$D:$D, Лист2!$A:$A, $A349, Лист2!$B:$B, $B349)</f>
        <v>12743</v>
      </c>
      <c r="G349" s="3">
        <f>SUMIFS(Лист2!$E:$E, Лист2!$A:$A, $A349, Лист2!$B:$B, $B349)</f>
        <v>11858</v>
      </c>
      <c r="H349">
        <f>IFERROR(Таблица1[[#This Row],[Товарооборот, руб]]/Таблица1[[#This Row],[Количество складов]],0)</f>
        <v>397463.38888888888</v>
      </c>
      <c r="I349">
        <f t="shared" si="5"/>
        <v>19</v>
      </c>
    </row>
    <row r="350" spans="1:9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>
        <f>SUMIFS(Лист2!$C:$C, Лист2!$A:$A, $A350, Лист2!$B:$B, $B350)</f>
        <v>54</v>
      </c>
      <c r="F350" s="3">
        <f>SUMIFS(Лист2!$D:$D, Лист2!$A:$A, $A350, Лист2!$B:$B, $B350)</f>
        <v>12211</v>
      </c>
      <c r="G350" s="3">
        <f>SUMIFS(Лист2!$E:$E, Лист2!$A:$A, $A350, Лист2!$B:$B, $B350)</f>
        <v>11427</v>
      </c>
      <c r="H350">
        <f>IFERROR(Таблица1[[#This Row],[Товарооборот, руб]]/Таблица1[[#This Row],[Количество складов]],0)</f>
        <v>353168.83333333331</v>
      </c>
      <c r="I350">
        <f t="shared" si="5"/>
        <v>22</v>
      </c>
    </row>
    <row r="351" spans="1:9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>
        <f>SUMIFS(Лист2!$C:$C, Лист2!$A:$A, $A351, Лист2!$B:$B, $B351)</f>
        <v>15</v>
      </c>
      <c r="F351" s="3">
        <f>SUMIFS(Лист2!$D:$D, Лист2!$A:$A, $A351, Лист2!$B:$B, $B351)</f>
        <v>659</v>
      </c>
      <c r="G351" s="3">
        <f>SUMIFS(Лист2!$E:$E, Лист2!$A:$A, $A351, Лист2!$B:$B, $B351)</f>
        <v>575</v>
      </c>
      <c r="H351">
        <f>IFERROR(Таблица1[[#This Row],[Товарооборот, руб]]/Таблица1[[#This Row],[Количество складов]],0)</f>
        <v>65434.6</v>
      </c>
      <c r="I351">
        <f t="shared" si="5"/>
        <v>18</v>
      </c>
    </row>
    <row r="352" spans="1:9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>
        <f>SUMIFS(Лист2!$C:$C, Лист2!$A:$A, $A352, Лист2!$B:$B, $B352)</f>
        <v>15</v>
      </c>
      <c r="F352" s="3">
        <f>SUMIFS(Лист2!$D:$D, Лист2!$A:$A, $A352, Лист2!$B:$B, $B352)</f>
        <v>636</v>
      </c>
      <c r="G352" s="3">
        <f>SUMIFS(Лист2!$E:$E, Лист2!$A:$A, $A352, Лист2!$B:$B, $B352)</f>
        <v>547</v>
      </c>
      <c r="H352">
        <f>IFERROR(Таблица1[[#This Row],[Товарооборот, руб]]/Таблица1[[#This Row],[Количество складов]],0)</f>
        <v>66169.399999999994</v>
      </c>
      <c r="I352">
        <f t="shared" si="5"/>
        <v>18</v>
      </c>
    </row>
    <row r="353" spans="1:9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>
        <f>SUMIFS(Лист2!$C:$C, Лист2!$A:$A, $A353, Лист2!$B:$B, $B353)</f>
        <v>54</v>
      </c>
      <c r="F353" s="3">
        <f>SUMIFS(Лист2!$D:$D, Лист2!$A:$A, $A353, Лист2!$B:$B, $B353)</f>
        <v>13106</v>
      </c>
      <c r="G353" s="3">
        <f>SUMIFS(Лист2!$E:$E, Лист2!$A:$A, $A353, Лист2!$B:$B, $B353)</f>
        <v>12164</v>
      </c>
      <c r="H353">
        <f>IFERROR(Таблица1[[#This Row],[Товарооборот, руб]]/Таблица1[[#This Row],[Количество складов]],0)</f>
        <v>383652.75</v>
      </c>
      <c r="I353">
        <f t="shared" si="5"/>
        <v>23</v>
      </c>
    </row>
    <row r="354" spans="1:9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>
        <f>SUMIFS(Лист2!$C:$C, Лист2!$A:$A, $A354, Лист2!$B:$B, $B354)</f>
        <v>54</v>
      </c>
      <c r="F354" s="3">
        <f>SUMIFS(Лист2!$D:$D, Лист2!$A:$A, $A354, Лист2!$B:$B, $B354)</f>
        <v>14590</v>
      </c>
      <c r="G354" s="3">
        <f>SUMIFS(Лист2!$E:$E, Лист2!$A:$A, $A354, Лист2!$B:$B, $B354)</f>
        <v>13551</v>
      </c>
      <c r="H354">
        <f>IFERROR(Таблица1[[#This Row],[Товарооборот, руб]]/Таблица1[[#This Row],[Количество складов]],0)</f>
        <v>447258.88888888888</v>
      </c>
      <c r="I354">
        <f t="shared" si="5"/>
        <v>23</v>
      </c>
    </row>
    <row r="355" spans="1:9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>
        <f>SUMIFS(Лист2!$C:$C, Лист2!$A:$A, $A355, Лист2!$B:$B, $B355)</f>
        <v>54</v>
      </c>
      <c r="F355" s="3">
        <f>SUMIFS(Лист2!$D:$D, Лист2!$A:$A, $A355, Лист2!$B:$B, $B355)</f>
        <v>12409</v>
      </c>
      <c r="G355" s="3">
        <f>SUMIFS(Лист2!$E:$E, Лист2!$A:$A, $A355, Лист2!$B:$B, $B355)</f>
        <v>11582</v>
      </c>
      <c r="H355">
        <f>IFERROR(Таблица1[[#This Row],[Товарооборот, руб]]/Таблица1[[#This Row],[Количество складов]],0)</f>
        <v>362019.19444444444</v>
      </c>
      <c r="I355">
        <f t="shared" si="5"/>
        <v>22</v>
      </c>
    </row>
    <row r="356" spans="1:9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>
        <f>SUMIFS(Лист2!$C:$C, Лист2!$A:$A, $A356, Лист2!$B:$B, $B356)</f>
        <v>16</v>
      </c>
      <c r="F356" s="3">
        <f>SUMIFS(Лист2!$D:$D, Лист2!$A:$A, $A356, Лист2!$B:$B, $B356)</f>
        <v>920</v>
      </c>
      <c r="G356" s="3">
        <f>SUMIFS(Лист2!$E:$E, Лист2!$A:$A, $A356, Лист2!$B:$B, $B356)</f>
        <v>818</v>
      </c>
      <c r="H356">
        <f>IFERROR(Таблица1[[#This Row],[Товарооборот, руб]]/Таблица1[[#This Row],[Количество складов]],0)</f>
        <v>82271.90625</v>
      </c>
      <c r="I356">
        <f t="shared" si="5"/>
        <v>21</v>
      </c>
    </row>
    <row r="357" spans="1:9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>
        <f>SUMIFS(Лист2!$C:$C, Лист2!$A:$A, $A357, Лист2!$B:$B, $B357)</f>
        <v>17</v>
      </c>
      <c r="F357" s="3">
        <f>SUMIFS(Лист2!$D:$D, Лист2!$A:$A, $A357, Лист2!$B:$B, $B357)</f>
        <v>857</v>
      </c>
      <c r="G357" s="3">
        <f>SUMIFS(Лист2!$E:$E, Лист2!$A:$A, $A357, Лист2!$B:$B, $B357)</f>
        <v>757</v>
      </c>
      <c r="H357">
        <f>IFERROR(Таблица1[[#This Row],[Товарооборот, руб]]/Таблица1[[#This Row],[Количество складов]],0)</f>
        <v>66282.970588235301</v>
      </c>
      <c r="I357">
        <f t="shared" si="5"/>
        <v>21</v>
      </c>
    </row>
    <row r="358" spans="1:9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>
        <f>SUMIFS(Лист2!$C:$C, Лист2!$A:$A, $A358, Лист2!$B:$B, $B358)</f>
        <v>16</v>
      </c>
      <c r="F358" s="3">
        <f>SUMIFS(Лист2!$D:$D, Лист2!$A:$A, $A358, Лист2!$B:$B, $B358)</f>
        <v>859</v>
      </c>
      <c r="G358" s="3">
        <f>SUMIFS(Лист2!$E:$E, Лист2!$A:$A, $A358, Лист2!$B:$B, $B358)</f>
        <v>746</v>
      </c>
      <c r="H358">
        <f>IFERROR(Таблица1[[#This Row],[Товарооборот, руб]]/Таблица1[[#This Row],[Количество складов]],0)</f>
        <v>72345.5625</v>
      </c>
      <c r="I358">
        <f t="shared" si="5"/>
        <v>21</v>
      </c>
    </row>
    <row r="359" spans="1:9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>
        <f>SUMIFS(Лист2!$C:$C, Лист2!$A:$A, $A359, Лист2!$B:$B, $B359)</f>
        <v>15</v>
      </c>
      <c r="F359" s="3">
        <f>SUMIFS(Лист2!$D:$D, Лист2!$A:$A, $A359, Лист2!$B:$B, $B359)</f>
        <v>654</v>
      </c>
      <c r="G359" s="3">
        <f>SUMIFS(Лист2!$E:$E, Лист2!$A:$A, $A359, Лист2!$B:$B, $B359)</f>
        <v>570</v>
      </c>
      <c r="H359">
        <f>IFERROR(Таблица1[[#This Row],[Товарооборот, руб]]/Таблица1[[#This Row],[Количество складов]],0)</f>
        <v>63720.1</v>
      </c>
      <c r="I359">
        <f t="shared" si="5"/>
        <v>20</v>
      </c>
    </row>
    <row r="360" spans="1:9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>
        <f>SUMIFS(Лист2!$C:$C, Лист2!$A:$A, $A360, Лист2!$B:$B, $B360)</f>
        <v>15</v>
      </c>
      <c r="F360" s="3">
        <f>SUMIFS(Лист2!$D:$D, Лист2!$A:$A, $A360, Лист2!$B:$B, $B360)</f>
        <v>622</v>
      </c>
      <c r="G360" s="3">
        <f>SUMIFS(Лист2!$E:$E, Лист2!$A:$A, $A360, Лист2!$B:$B, $B360)</f>
        <v>538</v>
      </c>
      <c r="H360">
        <f>IFERROR(Таблица1[[#This Row],[Товарооборот, руб]]/Таблица1[[#This Row],[Количество складов]],0)</f>
        <v>60422.9</v>
      </c>
      <c r="I360">
        <f t="shared" si="5"/>
        <v>18</v>
      </c>
    </row>
    <row r="361" spans="1:9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>
        <f>SUMIFS(Лист2!$C:$C, Лист2!$A:$A, $A361, Лист2!$B:$B, $B361)</f>
        <v>15</v>
      </c>
      <c r="F361" s="3">
        <f>SUMIFS(Лист2!$D:$D, Лист2!$A:$A, $A361, Лист2!$B:$B, $B361)</f>
        <v>567</v>
      </c>
      <c r="G361" s="3">
        <f>SUMIFS(Лист2!$E:$E, Лист2!$A:$A, $A361, Лист2!$B:$B, $B361)</f>
        <v>493</v>
      </c>
      <c r="H361">
        <f>IFERROR(Таблица1[[#This Row],[Товарооборот, руб]]/Таблица1[[#This Row],[Количество складов]],0)</f>
        <v>54457.3</v>
      </c>
      <c r="I361">
        <f t="shared" si="5"/>
        <v>19</v>
      </c>
    </row>
    <row r="362" spans="1:9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>
        <f>SUMIFS(Лист2!$C:$C, Лист2!$A:$A, $A362, Лист2!$B:$B, $B362)</f>
        <v>7</v>
      </c>
      <c r="F362" s="3">
        <f>SUMIFS(Лист2!$D:$D, Лист2!$A:$A, $A362, Лист2!$B:$B, $B362)</f>
        <v>577</v>
      </c>
      <c r="G362" s="3">
        <f>SUMIFS(Лист2!$E:$E, Лист2!$A:$A, $A362, Лист2!$B:$B, $B362)</f>
        <v>389</v>
      </c>
      <c r="H362">
        <f>IFERROR(Таблица1[[#This Row],[Товарооборот, руб]]/Таблица1[[#This Row],[Количество складов]],0)</f>
        <v>119116.5</v>
      </c>
      <c r="I362">
        <f t="shared" si="5"/>
        <v>22</v>
      </c>
    </row>
    <row r="363" spans="1:9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>
        <f>SUMIFS(Лист2!$C:$C, Лист2!$A:$A, $A363, Лист2!$B:$B, $B363)</f>
        <v>15</v>
      </c>
      <c r="F363" s="3">
        <f>SUMIFS(Лист2!$D:$D, Лист2!$A:$A, $A363, Лист2!$B:$B, $B363)</f>
        <v>721</v>
      </c>
      <c r="G363" s="3">
        <f>SUMIFS(Лист2!$E:$E, Лист2!$A:$A, $A363, Лист2!$B:$B, $B363)</f>
        <v>625</v>
      </c>
      <c r="H363">
        <f>IFERROR(Таблица1[[#This Row],[Товарооборот, руб]]/Таблица1[[#This Row],[Количество складов]],0)</f>
        <v>75629.600000000006</v>
      </c>
      <c r="I363">
        <f t="shared" si="5"/>
        <v>18</v>
      </c>
    </row>
    <row r="364" spans="1:9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>
        <f>SUMIFS(Лист2!$C:$C, Лист2!$A:$A, $A364, Лист2!$B:$B, $B364)</f>
        <v>15</v>
      </c>
      <c r="F364" s="3">
        <f>SUMIFS(Лист2!$D:$D, Лист2!$A:$A, $A364, Лист2!$B:$B, $B364)</f>
        <v>750</v>
      </c>
      <c r="G364" s="3">
        <f>SUMIFS(Лист2!$E:$E, Лист2!$A:$A, $A364, Лист2!$B:$B, $B364)</f>
        <v>659</v>
      </c>
      <c r="H364">
        <f>IFERROR(Таблица1[[#This Row],[Товарооборот, руб]]/Таблица1[[#This Row],[Количество складов]],0)</f>
        <v>72818.5</v>
      </c>
      <c r="I364">
        <f t="shared" si="5"/>
        <v>20</v>
      </c>
    </row>
    <row r="365" spans="1:9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>
        <f>SUMIFS(Лист2!$C:$C, Лист2!$A:$A, $A365, Лист2!$B:$B, $B365)</f>
        <v>18</v>
      </c>
      <c r="F365" s="3">
        <f>SUMIFS(Лист2!$D:$D, Лист2!$A:$A, $A365, Лист2!$B:$B, $B365)</f>
        <v>888</v>
      </c>
      <c r="G365" s="3">
        <f>SUMIFS(Лист2!$E:$E, Лист2!$A:$A, $A365, Лист2!$B:$B, $B365)</f>
        <v>786</v>
      </c>
      <c r="H365">
        <f>IFERROR(Таблица1[[#This Row],[Товарооборот, руб]]/Таблица1[[#This Row],[Количество складов]],0)</f>
        <v>65143</v>
      </c>
      <c r="I365">
        <f t="shared" si="5"/>
        <v>21</v>
      </c>
    </row>
    <row r="366" spans="1:9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>
        <f>SUMIFS(Лист2!$C:$C, Лист2!$A:$A, $A366, Лист2!$B:$B, $B366)</f>
        <v>17</v>
      </c>
      <c r="F366" s="3">
        <f>SUMIFS(Лист2!$D:$D, Лист2!$A:$A, $A366, Лист2!$B:$B, $B366)</f>
        <v>890</v>
      </c>
      <c r="G366" s="3">
        <f>SUMIFS(Лист2!$E:$E, Лист2!$A:$A, $A366, Лист2!$B:$B, $B366)</f>
        <v>794</v>
      </c>
      <c r="H366">
        <f>IFERROR(Таблица1[[#This Row],[Товарооборот, руб]]/Таблица1[[#This Row],[Количество складов]],0)</f>
        <v>71632.323529411762</v>
      </c>
      <c r="I366">
        <f t="shared" si="5"/>
        <v>21</v>
      </c>
    </row>
    <row r="367" spans="1:9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>
        <f>SUMIFS(Лист2!$C:$C, Лист2!$A:$A, $A367, Лист2!$B:$B, $B367)</f>
        <v>15</v>
      </c>
      <c r="F367" s="3">
        <f>SUMIFS(Лист2!$D:$D, Лист2!$A:$A, $A367, Лист2!$B:$B, $B367)</f>
        <v>750</v>
      </c>
      <c r="G367" s="3">
        <f>SUMIFS(Лист2!$E:$E, Лист2!$A:$A, $A367, Лист2!$B:$B, $B367)</f>
        <v>658</v>
      </c>
      <c r="H367">
        <f>IFERROR(Таблица1[[#This Row],[Товарооборот, руб]]/Таблица1[[#This Row],[Количество складов]],0)</f>
        <v>76371.7</v>
      </c>
      <c r="I367">
        <f t="shared" si="5"/>
        <v>19</v>
      </c>
    </row>
    <row r="368" spans="1:9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>
        <f>SUMIFS(Лист2!$C:$C, Лист2!$A:$A, $A368, Лист2!$B:$B, $B368)</f>
        <v>15</v>
      </c>
      <c r="F368" s="3">
        <f>SUMIFS(Лист2!$D:$D, Лист2!$A:$A, $A368, Лист2!$B:$B, $B368)</f>
        <v>854</v>
      </c>
      <c r="G368" s="3">
        <f>SUMIFS(Лист2!$E:$E, Лист2!$A:$A, $A368, Лист2!$B:$B, $B368)</f>
        <v>756</v>
      </c>
      <c r="H368">
        <f>IFERROR(Таблица1[[#This Row],[Товарооборот, руб]]/Таблица1[[#This Row],[Количество складов]],0)</f>
        <v>78179.399999999994</v>
      </c>
      <c r="I368">
        <f t="shared" si="5"/>
        <v>20</v>
      </c>
    </row>
    <row r="369" spans="1:9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>
        <f>SUMIFS(Лист2!$C:$C, Лист2!$A:$A, $A369, Лист2!$B:$B, $B369)</f>
        <v>15</v>
      </c>
      <c r="F369" s="3">
        <f>SUMIFS(Лист2!$D:$D, Лист2!$A:$A, $A369, Лист2!$B:$B, $B369)</f>
        <v>585</v>
      </c>
      <c r="G369" s="3">
        <f>SUMIFS(Лист2!$E:$E, Лист2!$A:$A, $A369, Лист2!$B:$B, $B369)</f>
        <v>502</v>
      </c>
      <c r="H369">
        <f>IFERROR(Таблица1[[#This Row],[Товарооборот, руб]]/Таблица1[[#This Row],[Количество складов]],0)</f>
        <v>54410</v>
      </c>
      <c r="I369">
        <f t="shared" si="5"/>
        <v>19</v>
      </c>
    </row>
    <row r="370" spans="1:9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>
        <f>SUMIFS(Лист2!$C:$C, Лист2!$A:$A, $A370, Лист2!$B:$B, $B370)</f>
        <v>15</v>
      </c>
      <c r="F370" s="3">
        <f>SUMIFS(Лист2!$D:$D, Лист2!$A:$A, $A370, Лист2!$B:$B, $B370)</f>
        <v>701</v>
      </c>
      <c r="G370" s="3">
        <f>SUMIFS(Лист2!$E:$E, Лист2!$A:$A, $A370, Лист2!$B:$B, $B370)</f>
        <v>611</v>
      </c>
      <c r="H370">
        <f>IFERROR(Таблица1[[#This Row],[Товарооборот, руб]]/Таблица1[[#This Row],[Количество складов]],0)</f>
        <v>67771.100000000006</v>
      </c>
      <c r="I370">
        <f t="shared" si="5"/>
        <v>19</v>
      </c>
    </row>
    <row r="371" spans="1:9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>
        <f>SUMIFS(Лист2!$C:$C, Лист2!$A:$A, $A371, Лист2!$B:$B, $B371)</f>
        <v>18</v>
      </c>
      <c r="F371" s="3">
        <f>SUMIFS(Лист2!$D:$D, Лист2!$A:$A, $A371, Лист2!$B:$B, $B371)</f>
        <v>1031</v>
      </c>
      <c r="G371" s="3">
        <f>SUMIFS(Лист2!$E:$E, Лист2!$A:$A, $A371, Лист2!$B:$B, $B371)</f>
        <v>918</v>
      </c>
      <c r="H371">
        <f>IFERROR(Таблица1[[#This Row],[Товарооборот, руб]]/Таблица1[[#This Row],[Количество складов]],0)</f>
        <v>80966.166666666672</v>
      </c>
      <c r="I371">
        <f t="shared" si="5"/>
        <v>22</v>
      </c>
    </row>
    <row r="372" spans="1:9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>
        <f>SUMIFS(Лист2!$C:$C, Лист2!$A:$A, $A372, Лист2!$B:$B, $B372)</f>
        <v>18</v>
      </c>
      <c r="F372" s="3">
        <f>SUMIFS(Лист2!$D:$D, Лист2!$A:$A, $A372, Лист2!$B:$B, $B372)</f>
        <v>989</v>
      </c>
      <c r="G372" s="3">
        <f>SUMIFS(Лист2!$E:$E, Лист2!$A:$A, $A372, Лист2!$B:$B, $B372)</f>
        <v>887</v>
      </c>
      <c r="H372">
        <f>IFERROR(Таблица1[[#This Row],[Товарооборот, руб]]/Таблица1[[#This Row],[Количество складов]],0)</f>
        <v>73705.833333333328</v>
      </c>
      <c r="I372">
        <f t="shared" si="5"/>
        <v>21</v>
      </c>
    </row>
    <row r="373" spans="1:9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>
        <f>SUMIFS(Лист2!$C:$C, Лист2!$A:$A, $A373, Лист2!$B:$B, $B373)</f>
        <v>15</v>
      </c>
      <c r="F373" s="3">
        <f>SUMIFS(Лист2!$D:$D, Лист2!$A:$A, $A373, Лист2!$B:$B, $B373)</f>
        <v>644</v>
      </c>
      <c r="G373" s="3">
        <f>SUMIFS(Лист2!$E:$E, Лист2!$A:$A, $A373, Лист2!$B:$B, $B373)</f>
        <v>550</v>
      </c>
      <c r="H373">
        <f>IFERROR(Таблица1[[#This Row],[Товарооборот, руб]]/Таблица1[[#This Row],[Количество складов]],0)</f>
        <v>66967.399999999994</v>
      </c>
      <c r="I373">
        <f t="shared" si="5"/>
        <v>18</v>
      </c>
    </row>
    <row r="374" spans="1:9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>
        <f>SUMIFS(Лист2!$C:$C, Лист2!$A:$A, $A374, Лист2!$B:$B, $B374)</f>
        <v>15</v>
      </c>
      <c r="F374" s="3">
        <f>SUMIFS(Лист2!$D:$D, Лист2!$A:$A, $A374, Лист2!$B:$B, $B374)</f>
        <v>792</v>
      </c>
      <c r="G374" s="3">
        <f>SUMIFS(Лист2!$E:$E, Лист2!$A:$A, $A374, Лист2!$B:$B, $B374)</f>
        <v>695</v>
      </c>
      <c r="H374">
        <f>IFERROR(Таблица1[[#This Row],[Товарооборот, руб]]/Таблица1[[#This Row],[Количество складов]],0)</f>
        <v>81103.8</v>
      </c>
      <c r="I374">
        <f t="shared" si="5"/>
        <v>20</v>
      </c>
    </row>
    <row r="375" spans="1:9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>
        <f>SUMIFS(Лист2!$C:$C, Лист2!$A:$A, $A375, Лист2!$B:$B, $B375)</f>
        <v>15</v>
      </c>
      <c r="F375" s="3">
        <f>SUMIFS(Лист2!$D:$D, Лист2!$A:$A, $A375, Лист2!$B:$B, $B375)</f>
        <v>703</v>
      </c>
      <c r="G375" s="3">
        <f>SUMIFS(Лист2!$E:$E, Лист2!$A:$A, $A375, Лист2!$B:$B, $B375)</f>
        <v>609</v>
      </c>
      <c r="H375">
        <f>IFERROR(Таблица1[[#This Row],[Товарооборот, руб]]/Таблица1[[#This Row],[Количество складов]],0)</f>
        <v>69789.899999999994</v>
      </c>
      <c r="I375">
        <f t="shared" si="5"/>
        <v>19</v>
      </c>
    </row>
    <row r="376" spans="1:9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>
        <f>SUMIFS(Лист2!$C:$C, Лист2!$A:$A, $A376, Лист2!$B:$B, $B376)</f>
        <v>15</v>
      </c>
      <c r="F376" s="3">
        <f>SUMIFS(Лист2!$D:$D, Лист2!$A:$A, $A376, Лист2!$B:$B, $B376)</f>
        <v>676</v>
      </c>
      <c r="G376" s="3">
        <f>SUMIFS(Лист2!$E:$E, Лист2!$A:$A, $A376, Лист2!$B:$B, $B376)</f>
        <v>591</v>
      </c>
      <c r="H376">
        <f>IFERROR(Таблица1[[#This Row],[Товарооборот, руб]]/Таблица1[[#This Row],[Количество складов]],0)</f>
        <v>64392</v>
      </c>
      <c r="I376">
        <f t="shared" si="5"/>
        <v>19</v>
      </c>
    </row>
    <row r="377" spans="1:9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>
        <f>SUMIFS(Лист2!$C:$C, Лист2!$A:$A, $A377, Лист2!$B:$B, $B377)</f>
        <v>18</v>
      </c>
      <c r="F377" s="3">
        <f>SUMIFS(Лист2!$D:$D, Лист2!$A:$A, $A377, Лист2!$B:$B, $B377)</f>
        <v>1006</v>
      </c>
      <c r="G377" s="3">
        <f>SUMIFS(Лист2!$E:$E, Лист2!$A:$A, $A377, Лист2!$B:$B, $B377)</f>
        <v>904</v>
      </c>
      <c r="H377">
        <f>IFERROR(Таблица1[[#This Row],[Товарооборот, руб]]/Таблица1[[#This Row],[Количество складов]],0)</f>
        <v>77014.583333333328</v>
      </c>
      <c r="I377">
        <f t="shared" si="5"/>
        <v>22</v>
      </c>
    </row>
    <row r="378" spans="1:9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>
        <f>SUMIFS(Лист2!$C:$C, Лист2!$A:$A, $A378, Лист2!$B:$B, $B378)</f>
        <v>18</v>
      </c>
      <c r="F378" s="3">
        <f>SUMIFS(Лист2!$D:$D, Лист2!$A:$A, $A378, Лист2!$B:$B, $B378)</f>
        <v>914</v>
      </c>
      <c r="G378" s="3">
        <f>SUMIFS(Лист2!$E:$E, Лист2!$A:$A, $A378, Лист2!$B:$B, $B378)</f>
        <v>804</v>
      </c>
      <c r="H378">
        <f>IFERROR(Таблица1[[#This Row],[Товарооборот, руб]]/Таблица1[[#This Row],[Количество складов]],0)</f>
        <v>67247.583333333328</v>
      </c>
      <c r="I378">
        <f t="shared" si="5"/>
        <v>22</v>
      </c>
    </row>
    <row r="379" spans="1:9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>
        <f>SUMIFS(Лист2!$C:$C, Лист2!$A:$A, $A379, Лист2!$B:$B, $B379)</f>
        <v>15</v>
      </c>
      <c r="F379" s="3">
        <f>SUMIFS(Лист2!$D:$D, Лист2!$A:$A, $A379, Лист2!$B:$B, $B379)</f>
        <v>453</v>
      </c>
      <c r="G379" s="3">
        <f>SUMIFS(Лист2!$E:$E, Лист2!$A:$A, $A379, Лист2!$B:$B, $B379)</f>
        <v>370</v>
      </c>
      <c r="H379">
        <f>IFERROR(Таблица1[[#This Row],[Товарооборот, руб]]/Таблица1[[#This Row],[Количество складов]],0)</f>
        <v>42423</v>
      </c>
      <c r="I379">
        <f t="shared" si="5"/>
        <v>22</v>
      </c>
    </row>
    <row r="380" spans="1:9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>
        <f>SUMIFS(Лист2!$C:$C, Лист2!$A:$A, $A380, Лист2!$B:$B, $B380)</f>
        <v>9</v>
      </c>
      <c r="F380" s="3">
        <f>SUMIFS(Лист2!$D:$D, Лист2!$A:$A, $A380, Лист2!$B:$B, $B380)</f>
        <v>345</v>
      </c>
      <c r="G380" s="3">
        <f>SUMIFS(Лист2!$E:$E, Лист2!$A:$A, $A380, Лист2!$B:$B, $B380)</f>
        <v>255</v>
      </c>
      <c r="H380">
        <f>IFERROR(Таблица1[[#This Row],[Товарооборот, руб]]/Таблица1[[#This Row],[Количество складов]],0)</f>
        <v>54877</v>
      </c>
      <c r="I380">
        <f t="shared" si="5"/>
        <v>23</v>
      </c>
    </row>
    <row r="381" spans="1:9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>
        <f>SUMIFS(Лист2!$C:$C, Лист2!$A:$A, $A381, Лист2!$B:$B, $B381)</f>
        <v>7</v>
      </c>
      <c r="F381" s="3">
        <f>SUMIFS(Лист2!$D:$D, Лист2!$A:$A, $A381, Лист2!$B:$B, $B381)</f>
        <v>532</v>
      </c>
      <c r="G381" s="3">
        <f>SUMIFS(Лист2!$E:$E, Лист2!$A:$A, $A381, Лист2!$B:$B, $B381)</f>
        <v>449</v>
      </c>
      <c r="H381">
        <f>IFERROR(Таблица1[[#This Row],[Товарооборот, руб]]/Таблица1[[#This Row],[Количество складов]],0)</f>
        <v>132667.92857142858</v>
      </c>
      <c r="I381">
        <f t="shared" si="5"/>
        <v>23</v>
      </c>
    </row>
    <row r="382" spans="1:9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>
        <f>SUMIFS(Лист2!$C:$C, Лист2!$A:$A, $A382, Лист2!$B:$B, $B382)</f>
        <v>15</v>
      </c>
      <c r="F382" s="3">
        <f>SUMIFS(Лист2!$D:$D, Лист2!$A:$A, $A382, Лист2!$B:$B, $B382)</f>
        <v>400</v>
      </c>
      <c r="G382" s="3">
        <f>SUMIFS(Лист2!$E:$E, Лист2!$A:$A, $A382, Лист2!$B:$B, $B382)</f>
        <v>329</v>
      </c>
      <c r="H382">
        <f>IFERROR(Таблица1[[#This Row],[Товарооборот, руб]]/Таблица1[[#This Row],[Количество складов]],0)</f>
        <v>43415.8</v>
      </c>
      <c r="I382">
        <f t="shared" si="5"/>
        <v>22</v>
      </c>
    </row>
    <row r="383" spans="1:9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>
        <f>SUMIFS(Лист2!$C:$C, Лист2!$A:$A, $A383, Лист2!$B:$B, $B383)</f>
        <v>7</v>
      </c>
      <c r="F383" s="3">
        <f>SUMIFS(Лист2!$D:$D, Лист2!$A:$A, $A383, Лист2!$B:$B, $B383)</f>
        <v>420</v>
      </c>
      <c r="G383" s="3">
        <f>SUMIFS(Лист2!$E:$E, Лист2!$A:$A, $A383, Лист2!$B:$B, $B383)</f>
        <v>347</v>
      </c>
      <c r="H383">
        <f>IFERROR(Таблица1[[#This Row],[Товарооборот, руб]]/Таблица1[[#This Row],[Количество складов]],0)</f>
        <v>99238.5</v>
      </c>
      <c r="I383">
        <f t="shared" si="5"/>
        <v>22</v>
      </c>
    </row>
    <row r="384" spans="1:9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>
        <f>SUMIFS(Лист2!$C:$C, Лист2!$A:$A, $A384, Лист2!$B:$B, $B384)</f>
        <v>20</v>
      </c>
      <c r="F384" s="3">
        <f>SUMIFS(Лист2!$D:$D, Лист2!$A:$A, $A384, Лист2!$B:$B, $B384)</f>
        <v>2079</v>
      </c>
      <c r="G384" s="3">
        <f>SUMIFS(Лист2!$E:$E, Лист2!$A:$A, $A384, Лист2!$B:$B, $B384)</f>
        <v>1893</v>
      </c>
      <c r="H384">
        <f>IFERROR(Таблица1[[#This Row],[Товарооборот, руб]]/Таблица1[[#This Row],[Количество складов]],0)</f>
        <v>150787.57500000001</v>
      </c>
      <c r="I384">
        <f t="shared" si="5"/>
        <v>22</v>
      </c>
    </row>
    <row r="385" spans="1:9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>
        <f>SUMIFS(Лист2!$C:$C, Лист2!$A:$A, $A385, Лист2!$B:$B, $B385)</f>
        <v>21</v>
      </c>
      <c r="F385" s="3">
        <f>SUMIFS(Лист2!$D:$D, Лист2!$A:$A, $A385, Лист2!$B:$B, $B385)</f>
        <v>2046</v>
      </c>
      <c r="G385" s="3">
        <f>SUMIFS(Лист2!$E:$E, Лист2!$A:$A, $A385, Лист2!$B:$B, $B385)</f>
        <v>1853</v>
      </c>
      <c r="H385">
        <f>IFERROR(Таблица1[[#This Row],[Товарооборот, руб]]/Таблица1[[#This Row],[Количество складов]],0)</f>
        <v>147193.78571428571</v>
      </c>
      <c r="I385">
        <f t="shared" si="5"/>
        <v>21</v>
      </c>
    </row>
    <row r="386" spans="1:9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>
        <f>SUMIFS(Лист2!$C:$C, Лист2!$A:$A, $A386, Лист2!$B:$B, $B386)</f>
        <v>6</v>
      </c>
      <c r="F386" s="3">
        <f>SUMIFS(Лист2!$D:$D, Лист2!$A:$A, $A386, Лист2!$B:$B, $B386)</f>
        <v>261</v>
      </c>
      <c r="G386" s="3">
        <f>SUMIFS(Лист2!$E:$E, Лист2!$A:$A, $A386, Лист2!$B:$B, $B386)</f>
        <v>188</v>
      </c>
      <c r="H386">
        <f>IFERROR(Таблица1[[#This Row],[Товарооборот, руб]]/Таблица1[[#This Row],[Количество складов]],0)</f>
        <v>78139.25</v>
      </c>
      <c r="I386">
        <f t="shared" ref="I386:I449" si="6">INT((A386-DATE(YEAR(A386),1,1)+WEEKDAY(A386,2)+6)/7)</f>
        <v>23</v>
      </c>
    </row>
    <row r="387" spans="1:9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>
        <f>SUMIFS(Лист2!$C:$C, Лист2!$A:$A, $A387, Лист2!$B:$B, $B387)</f>
        <v>21</v>
      </c>
      <c r="F387" s="3">
        <f>SUMIFS(Лист2!$D:$D, Лист2!$A:$A, $A387, Лист2!$B:$B, $B387)</f>
        <v>1597</v>
      </c>
      <c r="G387" s="3">
        <f>SUMIFS(Лист2!$E:$E, Лист2!$A:$A, $A387, Лист2!$B:$B, $B387)</f>
        <v>1457</v>
      </c>
      <c r="H387">
        <f>IFERROR(Таблица1[[#This Row],[Товарооборот, руб]]/Таблица1[[#This Row],[Количество складов]],0)</f>
        <v>118066.5</v>
      </c>
      <c r="I387">
        <f t="shared" si="6"/>
        <v>19</v>
      </c>
    </row>
    <row r="388" spans="1:9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>
        <f>SUMIFS(Лист2!$C:$C, Лист2!$A:$A, $A388, Лист2!$B:$B, $B388)</f>
        <v>18</v>
      </c>
      <c r="F388" s="3">
        <f>SUMIFS(Лист2!$D:$D, Лист2!$A:$A, $A388, Лист2!$B:$B, $B388)</f>
        <v>1216</v>
      </c>
      <c r="G388" s="3">
        <f>SUMIFS(Лист2!$E:$E, Лист2!$A:$A, $A388, Лист2!$B:$B, $B388)</f>
        <v>1101</v>
      </c>
      <c r="H388">
        <f>IFERROR(Таблица1[[#This Row],[Товарооборот, руб]]/Таблица1[[#This Row],[Количество складов]],0)</f>
        <v>98508.583333333328</v>
      </c>
      <c r="I388">
        <f t="shared" si="6"/>
        <v>23</v>
      </c>
    </row>
    <row r="389" spans="1:9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>
        <f>SUMIFS(Лист2!$C:$C, Лист2!$A:$A, $A389, Лист2!$B:$B, $B389)</f>
        <v>18</v>
      </c>
      <c r="F389" s="3">
        <f>SUMIFS(Лист2!$D:$D, Лист2!$A:$A, $A389, Лист2!$B:$B, $B389)</f>
        <v>1020</v>
      </c>
      <c r="G389" s="3">
        <f>SUMIFS(Лист2!$E:$E, Лист2!$A:$A, $A389, Лист2!$B:$B, $B389)</f>
        <v>911</v>
      </c>
      <c r="H389">
        <f>IFERROR(Таблица1[[#This Row],[Товарооборот, руб]]/Таблица1[[#This Row],[Количество складов]],0)</f>
        <v>77080.166666666672</v>
      </c>
      <c r="I389">
        <f t="shared" si="6"/>
        <v>22</v>
      </c>
    </row>
    <row r="390" spans="1:9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>
        <f>SUMIFS(Лист2!$C:$C, Лист2!$A:$A, $A390, Лист2!$B:$B, $B390)</f>
        <v>21</v>
      </c>
      <c r="F390" s="3">
        <f>SUMIFS(Лист2!$D:$D, Лист2!$A:$A, $A390, Лист2!$B:$B, $B390)</f>
        <v>1834</v>
      </c>
      <c r="G390" s="3">
        <f>SUMIFS(Лист2!$E:$E, Лист2!$A:$A, $A390, Лист2!$B:$B, $B390)</f>
        <v>1660</v>
      </c>
      <c r="H390">
        <f>IFERROR(Таблица1[[#This Row],[Товарооборот, руб]]/Таблица1[[#This Row],[Количество складов]],0)</f>
        <v>134589.5</v>
      </c>
      <c r="I390">
        <f t="shared" si="6"/>
        <v>20</v>
      </c>
    </row>
    <row r="391" spans="1:9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>
        <f>SUMIFS(Лист2!$C:$C, Лист2!$A:$A, $A391, Лист2!$B:$B, $B391)</f>
        <v>21</v>
      </c>
      <c r="F391" s="3">
        <f>SUMIFS(Лист2!$D:$D, Лист2!$A:$A, $A391, Лист2!$B:$B, $B391)</f>
        <v>1706</v>
      </c>
      <c r="G391" s="3">
        <f>SUMIFS(Лист2!$E:$E, Лист2!$A:$A, $A391, Лист2!$B:$B, $B391)</f>
        <v>1548</v>
      </c>
      <c r="H391">
        <f>IFERROR(Таблица1[[#This Row],[Товарооборот, руб]]/Таблица1[[#This Row],[Количество складов]],0)</f>
        <v>128720.57142857143</v>
      </c>
      <c r="I391">
        <f t="shared" si="6"/>
        <v>20</v>
      </c>
    </row>
    <row r="392" spans="1:9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>
        <f>SUMIFS(Лист2!$C:$C, Лист2!$A:$A, $A392, Лист2!$B:$B, $B392)</f>
        <v>21</v>
      </c>
      <c r="F392" s="3">
        <f>SUMIFS(Лист2!$D:$D, Лист2!$A:$A, $A392, Лист2!$B:$B, $B392)</f>
        <v>1926</v>
      </c>
      <c r="G392" s="3">
        <f>SUMIFS(Лист2!$E:$E, Лист2!$A:$A, $A392, Лист2!$B:$B, $B392)</f>
        <v>1742</v>
      </c>
      <c r="H392">
        <f>IFERROR(Таблица1[[#This Row],[Товарооборот, руб]]/Таблица1[[#This Row],[Количество складов]],0)</f>
        <v>144680.64285714287</v>
      </c>
      <c r="I392">
        <f t="shared" si="6"/>
        <v>20</v>
      </c>
    </row>
    <row r="393" spans="1:9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>
        <f>SUMIFS(Лист2!$C:$C, Лист2!$A:$A, $A393, Лист2!$B:$B, $B393)</f>
        <v>21</v>
      </c>
      <c r="F393" s="3">
        <f>SUMIFS(Лист2!$D:$D, Лист2!$A:$A, $A393, Лист2!$B:$B, $B393)</f>
        <v>2025</v>
      </c>
      <c r="G393" s="3">
        <f>SUMIFS(Лист2!$E:$E, Лист2!$A:$A, $A393, Лист2!$B:$B, $B393)</f>
        <v>1849</v>
      </c>
      <c r="H393">
        <f>IFERROR(Таблица1[[#This Row],[Товарооборот, руб]]/Таблица1[[#This Row],[Количество складов]],0)</f>
        <v>140239.78571428571</v>
      </c>
      <c r="I393">
        <f t="shared" si="6"/>
        <v>22</v>
      </c>
    </row>
    <row r="394" spans="1:9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>
        <f>SUMIFS(Лист2!$C:$C, Лист2!$A:$A, $A394, Лист2!$B:$B, $B394)</f>
        <v>7</v>
      </c>
      <c r="F394" s="3">
        <f>SUMIFS(Лист2!$D:$D, Лист2!$A:$A, $A394, Лист2!$B:$B, $B394)</f>
        <v>530</v>
      </c>
      <c r="G394" s="3">
        <f>SUMIFS(Лист2!$E:$E, Лист2!$A:$A, $A394, Лист2!$B:$B, $B394)</f>
        <v>447</v>
      </c>
      <c r="H394">
        <f>IFERROR(Таблица1[[#This Row],[Товарооборот, руб]]/Таблица1[[#This Row],[Количество складов]],0)</f>
        <v>123717.64285714286</v>
      </c>
      <c r="I394">
        <f t="shared" si="6"/>
        <v>23</v>
      </c>
    </row>
    <row r="395" spans="1:9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>
        <f>SUMIFS(Лист2!$C:$C, Лист2!$A:$A, $A395, Лист2!$B:$B, $B395)</f>
        <v>20</v>
      </c>
      <c r="F395" s="3">
        <f>SUMIFS(Лист2!$D:$D, Лист2!$A:$A, $A395, Лист2!$B:$B, $B395)</f>
        <v>2111</v>
      </c>
      <c r="G395" s="3">
        <f>SUMIFS(Лист2!$E:$E, Лист2!$A:$A, $A395, Лист2!$B:$B, $B395)</f>
        <v>1917</v>
      </c>
      <c r="H395">
        <f>IFERROR(Таблица1[[#This Row],[Товарооборот, руб]]/Таблица1[[#This Row],[Количество складов]],0)</f>
        <v>159658.35</v>
      </c>
      <c r="I395">
        <f t="shared" si="6"/>
        <v>22</v>
      </c>
    </row>
    <row r="396" spans="1:9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>
        <f>SUMIFS(Лист2!$C:$C, Лист2!$A:$A, $A396, Лист2!$B:$B, $B396)</f>
        <v>31</v>
      </c>
      <c r="F396" s="3">
        <f>SUMIFS(Лист2!$D:$D, Лист2!$A:$A, $A396, Лист2!$B:$B, $B396)</f>
        <v>5330</v>
      </c>
      <c r="G396" s="3">
        <f>SUMIFS(Лист2!$E:$E, Лист2!$A:$A, $A396, Лист2!$B:$B, $B396)</f>
        <v>4977</v>
      </c>
      <c r="H396">
        <f>IFERROR(Таблица1[[#This Row],[Товарооборот, руб]]/Таблица1[[#This Row],[Количество складов]],0)</f>
        <v>216163.98387096773</v>
      </c>
      <c r="I396">
        <f t="shared" si="6"/>
        <v>22</v>
      </c>
    </row>
    <row r="397" spans="1:9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>
        <f>SUMIFS(Лист2!$C:$C, Лист2!$A:$A, $A397, Лист2!$B:$B, $B397)</f>
        <v>31</v>
      </c>
      <c r="F397" s="3">
        <f>SUMIFS(Лист2!$D:$D, Лист2!$A:$A, $A397, Лист2!$B:$B, $B397)</f>
        <v>5965</v>
      </c>
      <c r="G397" s="3">
        <f>SUMIFS(Лист2!$E:$E, Лист2!$A:$A, $A397, Лист2!$B:$B, $B397)</f>
        <v>5533</v>
      </c>
      <c r="H397">
        <f>IFERROR(Таблица1[[#This Row],[Товарооборот, руб]]/Таблица1[[#This Row],[Количество складов]],0)</f>
        <v>249305.32258064515</v>
      </c>
      <c r="I397">
        <f t="shared" si="6"/>
        <v>21</v>
      </c>
    </row>
    <row r="398" spans="1:9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>
        <f>SUMIFS(Лист2!$C:$C, Лист2!$A:$A, $A398, Лист2!$B:$B, $B398)</f>
        <v>31</v>
      </c>
      <c r="F398" s="3">
        <f>SUMIFS(Лист2!$D:$D, Лист2!$A:$A, $A398, Лист2!$B:$B, $B398)</f>
        <v>5468</v>
      </c>
      <c r="G398" s="3">
        <f>SUMIFS(Лист2!$E:$E, Лист2!$A:$A, $A398, Лист2!$B:$B, $B398)</f>
        <v>5081</v>
      </c>
      <c r="H398">
        <f>IFERROR(Таблица1[[#This Row],[Товарооборот, руб]]/Таблица1[[#This Row],[Количество складов]],0)</f>
        <v>220320.04838709679</v>
      </c>
      <c r="I398">
        <f t="shared" si="6"/>
        <v>22</v>
      </c>
    </row>
    <row r="399" spans="1:9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>
        <f>SUMIFS(Лист2!$C:$C, Лист2!$A:$A, $A399, Лист2!$B:$B, $B399)</f>
        <v>18</v>
      </c>
      <c r="F399" s="3">
        <f>SUMIFS(Лист2!$D:$D, Лист2!$A:$A, $A399, Лист2!$B:$B, $B399)</f>
        <v>1029</v>
      </c>
      <c r="G399" s="3">
        <f>SUMIFS(Лист2!$E:$E, Лист2!$A:$A, $A399, Лист2!$B:$B, $B399)</f>
        <v>925</v>
      </c>
      <c r="H399">
        <f>IFERROR(Таблица1[[#This Row],[Товарооборот, руб]]/Таблица1[[#This Row],[Количество складов]],0)</f>
        <v>79078.333333333328</v>
      </c>
      <c r="I399">
        <f t="shared" si="6"/>
        <v>23</v>
      </c>
    </row>
    <row r="400" spans="1:9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>
        <f>SUMIFS(Лист2!$C:$C, Лист2!$A:$A, $A400, Лист2!$B:$B, $B400)</f>
        <v>31</v>
      </c>
      <c r="F400" s="3">
        <f>SUMIFS(Лист2!$D:$D, Лист2!$A:$A, $A400, Лист2!$B:$B, $B400)</f>
        <v>4826</v>
      </c>
      <c r="G400" s="3">
        <f>SUMIFS(Лист2!$E:$E, Лист2!$A:$A, $A400, Лист2!$B:$B, $B400)</f>
        <v>4483</v>
      </c>
      <c r="H400">
        <f>IFERROR(Таблица1[[#This Row],[Товарооборот, руб]]/Таблица1[[#This Row],[Количество складов]],0)</f>
        <v>206410.30645161291</v>
      </c>
      <c r="I400">
        <f t="shared" si="6"/>
        <v>19</v>
      </c>
    </row>
    <row r="401" spans="1:9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>
        <f>SUMIFS(Лист2!$C:$C, Лист2!$A:$A, $A401, Лист2!$B:$B, $B401)</f>
        <v>31</v>
      </c>
      <c r="F401" s="3">
        <f>SUMIFS(Лист2!$D:$D, Лист2!$A:$A, $A401, Лист2!$B:$B, $B401)</f>
        <v>5165</v>
      </c>
      <c r="G401" s="3">
        <f>SUMIFS(Лист2!$E:$E, Лист2!$A:$A, $A401, Лист2!$B:$B, $B401)</f>
        <v>4813</v>
      </c>
      <c r="H401">
        <f>IFERROR(Таблица1[[#This Row],[Товарооборот, руб]]/Таблица1[[#This Row],[Количество складов]],0)</f>
        <v>213216.5806451613</v>
      </c>
      <c r="I401">
        <f t="shared" si="6"/>
        <v>20</v>
      </c>
    </row>
    <row r="402" spans="1:9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>
        <f>SUMIFS(Лист2!$C:$C, Лист2!$A:$A, $A402, Лист2!$B:$B, $B402)</f>
        <v>31</v>
      </c>
      <c r="F402" s="3">
        <f>SUMIFS(Лист2!$D:$D, Лист2!$A:$A, $A402, Лист2!$B:$B, $B402)</f>
        <v>4695</v>
      </c>
      <c r="G402" s="3">
        <f>SUMIFS(Лист2!$E:$E, Лист2!$A:$A, $A402, Лист2!$B:$B, $B402)</f>
        <v>4372</v>
      </c>
      <c r="H402">
        <f>IFERROR(Таблица1[[#This Row],[Товарооборот, руб]]/Таблица1[[#This Row],[Количество складов]],0)</f>
        <v>195279</v>
      </c>
      <c r="I402">
        <f t="shared" si="6"/>
        <v>20</v>
      </c>
    </row>
    <row r="403" spans="1:9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>
        <f>SUMIFS(Лист2!$C:$C, Лист2!$A:$A, $A403, Лист2!$B:$B, $B403)</f>
        <v>31</v>
      </c>
      <c r="F403" s="3">
        <f>SUMIFS(Лист2!$D:$D, Лист2!$A:$A, $A403, Лист2!$B:$B, $B403)</f>
        <v>5184</v>
      </c>
      <c r="G403" s="3">
        <f>SUMIFS(Лист2!$E:$E, Лист2!$A:$A, $A403, Лист2!$B:$B, $B403)</f>
        <v>4778</v>
      </c>
      <c r="H403">
        <f>IFERROR(Таблица1[[#This Row],[Товарооборот, руб]]/Таблица1[[#This Row],[Количество складов]],0)</f>
        <v>221821.11290322582</v>
      </c>
      <c r="I403">
        <f t="shared" si="6"/>
        <v>20</v>
      </c>
    </row>
    <row r="404" spans="1:9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>
        <f>SUMIFS(Лист2!$C:$C, Лист2!$A:$A, $A404, Лист2!$B:$B, $B404)</f>
        <v>10</v>
      </c>
      <c r="F404" s="3">
        <f>SUMIFS(Лист2!$D:$D, Лист2!$A:$A, $A404, Лист2!$B:$B, $B404)</f>
        <v>757</v>
      </c>
      <c r="G404" s="3">
        <f>SUMIFS(Лист2!$E:$E, Лист2!$A:$A, $A404, Лист2!$B:$B, $B404)</f>
        <v>660</v>
      </c>
      <c r="H404">
        <f>IFERROR(Таблица1[[#This Row],[Товарооборот, руб]]/Таблица1[[#This Row],[Количество складов]],0)</f>
        <v>105479.85</v>
      </c>
      <c r="I404">
        <f t="shared" si="6"/>
        <v>22</v>
      </c>
    </row>
    <row r="405" spans="1:9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>
        <f>SUMIFS(Лист2!$C:$C, Лист2!$A:$A, $A405, Лист2!$B:$B, $B405)</f>
        <v>10</v>
      </c>
      <c r="F405" s="3">
        <f>SUMIFS(Лист2!$D:$D, Лист2!$A:$A, $A405, Лист2!$B:$B, $B405)</f>
        <v>965</v>
      </c>
      <c r="G405" s="3">
        <f>SUMIFS(Лист2!$E:$E, Лист2!$A:$A, $A405, Лист2!$B:$B, $B405)</f>
        <v>861</v>
      </c>
      <c r="H405">
        <f>IFERROR(Таблица1[[#This Row],[Товарооборот, руб]]/Таблица1[[#This Row],[Количество складов]],0)</f>
        <v>145504.95000000001</v>
      </c>
      <c r="I405">
        <f t="shared" si="6"/>
        <v>21</v>
      </c>
    </row>
    <row r="406" spans="1:9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>
        <f>SUMIFS(Лист2!$C:$C, Лист2!$A:$A, $A406, Лист2!$B:$B, $B406)</f>
        <v>10</v>
      </c>
      <c r="F406" s="3">
        <f>SUMIFS(Лист2!$D:$D, Лист2!$A:$A, $A406, Лист2!$B:$B, $B406)</f>
        <v>719</v>
      </c>
      <c r="G406" s="3">
        <f>SUMIFS(Лист2!$E:$E, Лист2!$A:$A, $A406, Лист2!$B:$B, $B406)</f>
        <v>627</v>
      </c>
      <c r="H406">
        <f>IFERROR(Таблица1[[#This Row],[Товарооборот, руб]]/Таблица1[[#This Row],[Количество складов]],0)</f>
        <v>100774.2</v>
      </c>
      <c r="I406">
        <f t="shared" si="6"/>
        <v>22</v>
      </c>
    </row>
    <row r="407" spans="1:9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>
        <f>SUMIFS(Лист2!$C:$C, Лист2!$A:$A, $A407, Лист2!$B:$B, $B407)</f>
        <v>10</v>
      </c>
      <c r="F407" s="3">
        <f>SUMIFS(Лист2!$D:$D, Лист2!$A:$A, $A407, Лист2!$B:$B, $B407)</f>
        <v>494</v>
      </c>
      <c r="G407" s="3">
        <f>SUMIFS(Лист2!$E:$E, Лист2!$A:$A, $A407, Лист2!$B:$B, $B407)</f>
        <v>421</v>
      </c>
      <c r="H407">
        <f>IFERROR(Таблица1[[#This Row],[Товарооборот, руб]]/Таблица1[[#This Row],[Количество складов]],0)</f>
        <v>73433.55</v>
      </c>
      <c r="I407">
        <f t="shared" si="6"/>
        <v>19</v>
      </c>
    </row>
    <row r="408" spans="1:9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>
        <f>SUMIFS(Лист2!$C:$C, Лист2!$A:$A, $A408, Лист2!$B:$B, $B408)</f>
        <v>31</v>
      </c>
      <c r="F408" s="3">
        <f>SUMIFS(Лист2!$D:$D, Лист2!$A:$A, $A408, Лист2!$B:$B, $B408)</f>
        <v>5751</v>
      </c>
      <c r="G408" s="3">
        <f>SUMIFS(Лист2!$E:$E, Лист2!$A:$A, $A408, Лист2!$B:$B, $B408)</f>
        <v>5319</v>
      </c>
      <c r="H408">
        <f>IFERROR(Таблица1[[#This Row],[Товарооборот, руб]]/Таблица1[[#This Row],[Количество складов]],0)</f>
        <v>238294.06451612903</v>
      </c>
      <c r="I408">
        <f t="shared" si="6"/>
        <v>22</v>
      </c>
    </row>
    <row r="409" spans="1:9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>
        <f>SUMIFS(Лист2!$C:$C, Лист2!$A:$A, $A409, Лист2!$B:$B, $B409)</f>
        <v>10</v>
      </c>
      <c r="F409" s="3">
        <f>SUMIFS(Лист2!$D:$D, Лист2!$A:$A, $A409, Лист2!$B:$B, $B409)</f>
        <v>645</v>
      </c>
      <c r="G409" s="3">
        <f>SUMIFS(Лист2!$E:$E, Лист2!$A:$A, $A409, Лист2!$B:$B, $B409)</f>
        <v>565</v>
      </c>
      <c r="H409">
        <f>IFERROR(Таблица1[[#This Row],[Товарооборот, руб]]/Таблица1[[#This Row],[Количество складов]],0)</f>
        <v>93642.75</v>
      </c>
      <c r="I409">
        <f t="shared" si="6"/>
        <v>20</v>
      </c>
    </row>
    <row r="410" spans="1:9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>
        <f>SUMIFS(Лист2!$C:$C, Лист2!$A:$A, $A410, Лист2!$B:$B, $B410)</f>
        <v>10</v>
      </c>
      <c r="F410" s="3">
        <f>SUMIFS(Лист2!$D:$D, Лист2!$A:$A, $A410, Лист2!$B:$B, $B410)</f>
        <v>627</v>
      </c>
      <c r="G410" s="3">
        <f>SUMIFS(Лист2!$E:$E, Лист2!$A:$A, $A410, Лист2!$B:$B, $B410)</f>
        <v>545</v>
      </c>
      <c r="H410">
        <f>IFERROR(Таблица1[[#This Row],[Товарооборот, руб]]/Таблица1[[#This Row],[Количество складов]],0)</f>
        <v>98156.4</v>
      </c>
      <c r="I410">
        <f t="shared" si="6"/>
        <v>20</v>
      </c>
    </row>
    <row r="411" spans="1:9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>
        <f>SUMIFS(Лист2!$C:$C, Лист2!$A:$A, $A411, Лист2!$B:$B, $B411)</f>
        <v>10</v>
      </c>
      <c r="F411" s="3">
        <f>SUMIFS(Лист2!$D:$D, Лист2!$A:$A, $A411, Лист2!$B:$B, $B411)</f>
        <v>743</v>
      </c>
      <c r="G411" s="3">
        <f>SUMIFS(Лист2!$E:$E, Лист2!$A:$A, $A411, Лист2!$B:$B, $B411)</f>
        <v>652</v>
      </c>
      <c r="H411">
        <f>IFERROR(Таблица1[[#This Row],[Товарооборот, руб]]/Таблица1[[#This Row],[Количество складов]],0)</f>
        <v>115057.95</v>
      </c>
      <c r="I411">
        <f t="shared" si="6"/>
        <v>20</v>
      </c>
    </row>
    <row r="412" spans="1:9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>
        <f>SUMIFS(Лист2!$C:$C, Лист2!$A:$A, $A412, Лист2!$B:$B, $B412)</f>
        <v>10</v>
      </c>
      <c r="F412" s="3">
        <f>SUMIFS(Лист2!$D:$D, Лист2!$A:$A, $A412, Лист2!$B:$B, $B412)</f>
        <v>873</v>
      </c>
      <c r="G412" s="3">
        <f>SUMIFS(Лист2!$E:$E, Лист2!$A:$A, $A412, Лист2!$B:$B, $B412)</f>
        <v>770</v>
      </c>
      <c r="H412">
        <f>IFERROR(Таблица1[[#This Row],[Товарооборот, руб]]/Таблица1[[#This Row],[Количество складов]],0)</f>
        <v>127346.4</v>
      </c>
      <c r="I412">
        <f t="shared" si="6"/>
        <v>22</v>
      </c>
    </row>
    <row r="413" spans="1:9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>
        <f>SUMIFS(Лист2!$C:$C, Лист2!$A:$A, $A413, Лист2!$B:$B, $B413)</f>
        <v>20</v>
      </c>
      <c r="F413" s="3">
        <f>SUMIFS(Лист2!$D:$D, Лист2!$A:$A, $A413, Лист2!$B:$B, $B413)</f>
        <v>2079</v>
      </c>
      <c r="G413" s="3">
        <f>SUMIFS(Лист2!$E:$E, Лист2!$A:$A, $A413, Лист2!$B:$B, $B413)</f>
        <v>1856</v>
      </c>
      <c r="H413">
        <f>IFERROR(Таблица1[[#This Row],[Товарооборот, руб]]/Таблица1[[#This Row],[Количество складов]],0)</f>
        <v>146206.65</v>
      </c>
      <c r="I413">
        <f t="shared" si="6"/>
        <v>22</v>
      </c>
    </row>
    <row r="414" spans="1:9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>
        <f>SUMIFS(Лист2!$C:$C, Лист2!$A:$A, $A414, Лист2!$B:$B, $B414)</f>
        <v>20</v>
      </c>
      <c r="F414" s="3">
        <f>SUMIFS(Лист2!$D:$D, Лист2!$A:$A, $A414, Лист2!$B:$B, $B414)</f>
        <v>2306</v>
      </c>
      <c r="G414" s="3">
        <f>SUMIFS(Лист2!$E:$E, Лист2!$A:$A, $A414, Лист2!$B:$B, $B414)</f>
        <v>2054</v>
      </c>
      <c r="H414">
        <f>IFERROR(Таблица1[[#This Row],[Товарооборот, руб]]/Таблица1[[#This Row],[Количество складов]],0)</f>
        <v>170709</v>
      </c>
      <c r="I414">
        <f t="shared" si="6"/>
        <v>21</v>
      </c>
    </row>
    <row r="415" spans="1:9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>
        <f>SUMIFS(Лист2!$C:$C, Лист2!$A:$A, $A415, Лист2!$B:$B, $B415)</f>
        <v>20</v>
      </c>
      <c r="F415" s="3">
        <f>SUMIFS(Лист2!$D:$D, Лист2!$A:$A, $A415, Лист2!$B:$B, $B415)</f>
        <v>2136</v>
      </c>
      <c r="G415" s="3">
        <f>SUMIFS(Лист2!$E:$E, Лист2!$A:$A, $A415, Лист2!$B:$B, $B415)</f>
        <v>1899</v>
      </c>
      <c r="H415">
        <f>IFERROR(Таблица1[[#This Row],[Товарооборот, руб]]/Таблица1[[#This Row],[Количество складов]],0)</f>
        <v>150675.6</v>
      </c>
      <c r="I415">
        <f t="shared" si="6"/>
        <v>22</v>
      </c>
    </row>
    <row r="416" spans="1:9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>
        <f>SUMIFS(Лист2!$C:$C, Лист2!$A:$A, $A416, Лист2!$B:$B, $B416)</f>
        <v>19</v>
      </c>
      <c r="F416" s="3">
        <f>SUMIFS(Лист2!$D:$D, Лист2!$A:$A, $A416, Лист2!$B:$B, $B416)</f>
        <v>2530</v>
      </c>
      <c r="G416" s="3">
        <f>SUMIFS(Лист2!$E:$E, Лист2!$A:$A, $A416, Лист2!$B:$B, $B416)</f>
        <v>2270</v>
      </c>
      <c r="H416">
        <f>IFERROR(Таблица1[[#This Row],[Товарооборот, руб]]/Таблица1[[#This Row],[Количество складов]],0)</f>
        <v>205893.63157894736</v>
      </c>
      <c r="I416">
        <f t="shared" si="6"/>
        <v>19</v>
      </c>
    </row>
    <row r="417" spans="1:9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>
        <f>SUMIFS(Лист2!$C:$C, Лист2!$A:$A, $A417, Лист2!$B:$B, $B417)</f>
        <v>19</v>
      </c>
      <c r="F417" s="3">
        <f>SUMIFS(Лист2!$D:$D, Лист2!$A:$A, $A417, Лист2!$B:$B, $B417)</f>
        <v>1858</v>
      </c>
      <c r="G417" s="3">
        <f>SUMIFS(Лист2!$E:$E, Лист2!$A:$A, $A417, Лист2!$B:$B, $B417)</f>
        <v>1648</v>
      </c>
      <c r="H417">
        <f>IFERROR(Таблица1[[#This Row],[Товарооборот, руб]]/Таблица1[[#This Row],[Количество складов]],0)</f>
        <v>136218.31578947368</v>
      </c>
      <c r="I417">
        <f t="shared" si="6"/>
        <v>20</v>
      </c>
    </row>
    <row r="418" spans="1:9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>
        <f>SUMIFS(Лист2!$C:$C, Лист2!$A:$A, $A418, Лист2!$B:$B, $B418)</f>
        <v>19</v>
      </c>
      <c r="F418" s="3">
        <f>SUMIFS(Лист2!$D:$D, Лист2!$A:$A, $A418, Лист2!$B:$B, $B418)</f>
        <v>1675</v>
      </c>
      <c r="G418" s="3">
        <f>SUMIFS(Лист2!$E:$E, Лист2!$A:$A, $A418, Лист2!$B:$B, $B418)</f>
        <v>1475</v>
      </c>
      <c r="H418">
        <f>IFERROR(Таблица1[[#This Row],[Товарооборот, руб]]/Таблица1[[#This Row],[Количество складов]],0)</f>
        <v>128501.05263157895</v>
      </c>
      <c r="I418">
        <f t="shared" si="6"/>
        <v>20</v>
      </c>
    </row>
    <row r="419" spans="1:9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>
        <f>SUMIFS(Лист2!$C:$C, Лист2!$A:$A, $A419, Лист2!$B:$B, $B419)</f>
        <v>19</v>
      </c>
      <c r="F419" s="3">
        <f>SUMIFS(Лист2!$D:$D, Лист2!$A:$A, $A419, Лист2!$B:$B, $B419)</f>
        <v>1940</v>
      </c>
      <c r="G419" s="3">
        <f>SUMIFS(Лист2!$E:$E, Лист2!$A:$A, $A419, Лист2!$B:$B, $B419)</f>
        <v>1715</v>
      </c>
      <c r="H419">
        <f>IFERROR(Таблица1[[#This Row],[Товарооборот, руб]]/Таблица1[[#This Row],[Количество складов]],0)</f>
        <v>155214.63157894736</v>
      </c>
      <c r="I419">
        <f t="shared" si="6"/>
        <v>20</v>
      </c>
    </row>
    <row r="420" spans="1:9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>
        <f>SUMIFS(Лист2!$C:$C, Лист2!$A:$A, $A420, Лист2!$B:$B, $B420)</f>
        <v>20</v>
      </c>
      <c r="F420" s="3">
        <f>SUMIFS(Лист2!$D:$D, Лист2!$A:$A, $A420, Лист2!$B:$B, $B420)</f>
        <v>2249</v>
      </c>
      <c r="G420" s="3">
        <f>SUMIFS(Лист2!$E:$E, Лист2!$A:$A, $A420, Лист2!$B:$B, $B420)</f>
        <v>2000</v>
      </c>
      <c r="H420">
        <f>IFERROR(Таблица1[[#This Row],[Товарооборот, руб]]/Таблица1[[#This Row],[Количество складов]],0)</f>
        <v>162902.70000000001</v>
      </c>
      <c r="I420">
        <f t="shared" si="6"/>
        <v>22</v>
      </c>
    </row>
    <row r="421" spans="1:9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>
        <f>SUMIFS(Лист2!$C:$C, Лист2!$A:$A, $A421, Лист2!$B:$B, $B421)</f>
        <v>129</v>
      </c>
      <c r="F421" s="3">
        <f>SUMIFS(Лист2!$D:$D, Лист2!$A:$A, $A421, Лист2!$B:$B, $B421)</f>
        <v>17115</v>
      </c>
      <c r="G421" s="3">
        <f>SUMIFS(Лист2!$E:$E, Лист2!$A:$A, $A421, Лист2!$B:$B, $B421)</f>
        <v>15962</v>
      </c>
      <c r="H421">
        <f>IFERROR(Таблица1[[#This Row],[Товарооборот, руб]]/Таблица1[[#This Row],[Количество складов]],0)</f>
        <v>226798.39534883722</v>
      </c>
      <c r="I421">
        <f t="shared" si="6"/>
        <v>22</v>
      </c>
    </row>
    <row r="422" spans="1:9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>
        <f>SUMIFS(Лист2!$C:$C, Лист2!$A:$A, $A422, Лист2!$B:$B, $B422)</f>
        <v>129</v>
      </c>
      <c r="F422" s="3">
        <f>SUMIFS(Лист2!$D:$D, Лист2!$A:$A, $A422, Лист2!$B:$B, $B422)</f>
        <v>17088</v>
      </c>
      <c r="G422" s="3">
        <f>SUMIFS(Лист2!$E:$E, Лист2!$A:$A, $A422, Лист2!$B:$B, $B422)</f>
        <v>15804</v>
      </c>
      <c r="H422">
        <f>IFERROR(Таблица1[[#This Row],[Товарооборот, руб]]/Таблица1[[#This Row],[Количество складов]],0)</f>
        <v>228416.81395348837</v>
      </c>
      <c r="I422">
        <f t="shared" si="6"/>
        <v>21</v>
      </c>
    </row>
    <row r="423" spans="1:9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>
        <f>SUMIFS(Лист2!$C:$C, Лист2!$A:$A, $A423, Лист2!$B:$B, $B423)</f>
        <v>128</v>
      </c>
      <c r="F423" s="3">
        <f>SUMIFS(Лист2!$D:$D, Лист2!$A:$A, $A423, Лист2!$B:$B, $B423)</f>
        <v>16285</v>
      </c>
      <c r="G423" s="3">
        <f>SUMIFS(Лист2!$E:$E, Лист2!$A:$A, $A423, Лист2!$B:$B, $B423)</f>
        <v>15130</v>
      </c>
      <c r="H423">
        <f>IFERROR(Таблица1[[#This Row],[Товарооборот, руб]]/Таблица1[[#This Row],[Количество складов]],0)</f>
        <v>216953.84765625</v>
      </c>
      <c r="I423">
        <f t="shared" si="6"/>
        <v>22</v>
      </c>
    </row>
    <row r="424" spans="1:9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>
        <f>SUMIFS(Лист2!$C:$C, Лист2!$A:$A, $A424, Лист2!$B:$B, $B424)</f>
        <v>129</v>
      </c>
      <c r="F424" s="3">
        <f>SUMIFS(Лист2!$D:$D, Лист2!$A:$A, $A424, Лист2!$B:$B, $B424)</f>
        <v>14043</v>
      </c>
      <c r="G424" s="3">
        <f>SUMIFS(Лист2!$E:$E, Лист2!$A:$A, $A424, Лист2!$B:$B, $B424)</f>
        <v>13167</v>
      </c>
      <c r="H424">
        <f>IFERROR(Таблица1[[#This Row],[Товарооборот, руб]]/Таблица1[[#This Row],[Количество складов]],0)</f>
        <v>190916.53661976743</v>
      </c>
      <c r="I424">
        <f t="shared" si="6"/>
        <v>19</v>
      </c>
    </row>
    <row r="425" spans="1:9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>
        <f>SUMIFS(Лист2!$C:$C, Лист2!$A:$A, $A425, Лист2!$B:$B, $B425)</f>
        <v>129</v>
      </c>
      <c r="F425" s="3">
        <f>SUMIFS(Лист2!$D:$D, Лист2!$A:$A, $A425, Лист2!$B:$B, $B425)</f>
        <v>16110</v>
      </c>
      <c r="G425" s="3">
        <f>SUMIFS(Лист2!$E:$E, Лист2!$A:$A, $A425, Лист2!$B:$B, $B425)</f>
        <v>14992</v>
      </c>
      <c r="H425">
        <f>IFERROR(Таблица1[[#This Row],[Товарооборот, руб]]/Таблица1[[#This Row],[Количество складов]],0)</f>
        <v>213451.81509767444</v>
      </c>
      <c r="I425">
        <f t="shared" si="6"/>
        <v>20</v>
      </c>
    </row>
    <row r="426" spans="1:9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>
        <f>SUMIFS(Лист2!$C:$C, Лист2!$A:$A, $A426, Лист2!$B:$B, $B426)</f>
        <v>129</v>
      </c>
      <c r="F426" s="3">
        <f>SUMIFS(Лист2!$D:$D, Лист2!$A:$A, $A426, Лист2!$B:$B, $B426)</f>
        <v>15804</v>
      </c>
      <c r="G426" s="3">
        <f>SUMIFS(Лист2!$E:$E, Лист2!$A:$A, $A426, Лист2!$B:$B, $B426)</f>
        <v>14738</v>
      </c>
      <c r="H426">
        <f>IFERROR(Таблица1[[#This Row],[Товарооборот, руб]]/Таблица1[[#This Row],[Количество складов]],0)</f>
        <v>218459.62790697673</v>
      </c>
      <c r="I426">
        <f t="shared" si="6"/>
        <v>20</v>
      </c>
    </row>
    <row r="427" spans="1:9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>
        <f>SUMIFS(Лист2!$C:$C, Лист2!$A:$A, $A427, Лист2!$B:$B, $B427)</f>
        <v>129</v>
      </c>
      <c r="F427" s="3">
        <f>SUMIFS(Лист2!$D:$D, Лист2!$A:$A, $A427, Лист2!$B:$B, $B427)</f>
        <v>17808</v>
      </c>
      <c r="G427" s="3">
        <f>SUMIFS(Лист2!$E:$E, Лист2!$A:$A, $A427, Лист2!$B:$B, $B427)</f>
        <v>16486</v>
      </c>
      <c r="H427">
        <f>IFERROR(Таблица1[[#This Row],[Товарооборот, руб]]/Таблица1[[#This Row],[Количество складов]],0)</f>
        <v>250808.76744186046</v>
      </c>
      <c r="I427">
        <f t="shared" si="6"/>
        <v>20</v>
      </c>
    </row>
    <row r="428" spans="1:9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>
        <f>SUMIFS(Лист2!$C:$C, Лист2!$A:$A, $A428, Лист2!$B:$B, $B428)</f>
        <v>124</v>
      </c>
      <c r="F428" s="3">
        <f>SUMIFS(Лист2!$D:$D, Лист2!$A:$A, $A428, Лист2!$B:$B, $B428)</f>
        <v>21384</v>
      </c>
      <c r="G428" s="3">
        <f>SUMIFS(Лист2!$E:$E, Лист2!$A:$A, $A428, Лист2!$B:$B, $B428)</f>
        <v>19897</v>
      </c>
      <c r="H428">
        <f>IFERROR(Таблица1[[#This Row],[Товарооборот, руб]]/Таблица1[[#This Row],[Количество складов]],0)</f>
        <v>314797.2701612903</v>
      </c>
      <c r="I428">
        <f t="shared" si="6"/>
        <v>22</v>
      </c>
    </row>
    <row r="429" spans="1:9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>
        <f>SUMIFS(Лист2!$C:$C, Лист2!$A:$A, $A429, Лист2!$B:$B, $B429)</f>
        <v>125</v>
      </c>
      <c r="F429" s="3">
        <f>SUMIFS(Лист2!$D:$D, Лист2!$A:$A, $A429, Лист2!$B:$B, $B429)</f>
        <v>21427</v>
      </c>
      <c r="G429" s="3">
        <f>SUMIFS(Лист2!$E:$E, Лист2!$A:$A, $A429, Лист2!$B:$B, $B429)</f>
        <v>19799</v>
      </c>
      <c r="H429">
        <f>IFERROR(Таблица1[[#This Row],[Товарооборот, руб]]/Таблица1[[#This Row],[Количество складов]],0)</f>
        <v>315986.98800000001</v>
      </c>
      <c r="I429">
        <f t="shared" si="6"/>
        <v>21</v>
      </c>
    </row>
    <row r="430" spans="1:9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>
        <f>SUMIFS(Лист2!$C:$C, Лист2!$A:$A, $A430, Лист2!$B:$B, $B430)</f>
        <v>123</v>
      </c>
      <c r="F430" s="3">
        <f>SUMIFS(Лист2!$D:$D, Лист2!$A:$A, $A430, Лист2!$B:$B, $B430)</f>
        <v>20325</v>
      </c>
      <c r="G430" s="3">
        <f>SUMIFS(Лист2!$E:$E, Лист2!$A:$A, $A430, Лист2!$B:$B, $B430)</f>
        <v>18935</v>
      </c>
      <c r="H430">
        <f>IFERROR(Таблица1[[#This Row],[Товарооборот, руб]]/Таблица1[[#This Row],[Количество складов]],0)</f>
        <v>302909.26976707316</v>
      </c>
      <c r="I430">
        <f t="shared" si="6"/>
        <v>22</v>
      </c>
    </row>
    <row r="431" spans="1:9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>
        <f>SUMIFS(Лист2!$C:$C, Лист2!$A:$A, $A431, Лист2!$B:$B, $B431)</f>
        <v>125</v>
      </c>
      <c r="F431" s="3">
        <f>SUMIFS(Лист2!$D:$D, Лист2!$A:$A, $A431, Лист2!$B:$B, $B431)</f>
        <v>18066</v>
      </c>
      <c r="G431" s="3">
        <f>SUMIFS(Лист2!$E:$E, Лист2!$A:$A, $A431, Лист2!$B:$B, $B431)</f>
        <v>16883</v>
      </c>
      <c r="H431">
        <f>IFERROR(Таблица1[[#This Row],[Товарооборот, руб]]/Таблица1[[#This Row],[Количество складов]],0)</f>
        <v>270252.64799999999</v>
      </c>
      <c r="I431">
        <f t="shared" si="6"/>
        <v>19</v>
      </c>
    </row>
    <row r="432" spans="1:9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>
        <f>SUMIFS(Лист2!$C:$C, Лист2!$A:$A, $A432, Лист2!$B:$B, $B432)</f>
        <v>129</v>
      </c>
      <c r="F432" s="3">
        <f>SUMIFS(Лист2!$D:$D, Лист2!$A:$A, $A432, Лист2!$B:$B, $B432)</f>
        <v>22403</v>
      </c>
      <c r="G432" s="3">
        <f>SUMIFS(Лист2!$E:$E, Лист2!$A:$A, $A432, Лист2!$B:$B, $B432)</f>
        <v>20676</v>
      </c>
      <c r="H432">
        <f>IFERROR(Таблица1[[#This Row],[Товарооборот, руб]]/Таблица1[[#This Row],[Количество складов]],0)</f>
        <v>323776.27988372097</v>
      </c>
      <c r="I432">
        <f t="shared" si="6"/>
        <v>22</v>
      </c>
    </row>
    <row r="433" spans="1:9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>
        <f>SUMIFS(Лист2!$C:$C, Лист2!$A:$A, $A433, Лист2!$B:$B, $B433)</f>
        <v>125</v>
      </c>
      <c r="F433" s="3">
        <f>SUMIFS(Лист2!$D:$D, Лист2!$A:$A, $A433, Лист2!$B:$B, $B433)</f>
        <v>20449</v>
      </c>
      <c r="G433" s="3">
        <f>SUMIFS(Лист2!$E:$E, Лист2!$A:$A, $A433, Лист2!$B:$B, $B433)</f>
        <v>19060</v>
      </c>
      <c r="H433">
        <f>IFERROR(Таблица1[[#This Row],[Товарооборот, руб]]/Таблица1[[#This Row],[Количество складов]],0)</f>
        <v>295015.10399999999</v>
      </c>
      <c r="I433">
        <f t="shared" si="6"/>
        <v>20</v>
      </c>
    </row>
    <row r="434" spans="1:9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>
        <f>SUMIFS(Лист2!$C:$C, Лист2!$A:$A, $A434, Лист2!$B:$B, $B434)</f>
        <v>125</v>
      </c>
      <c r="F434" s="3">
        <f>SUMIFS(Лист2!$D:$D, Лист2!$A:$A, $A434, Лист2!$B:$B, $B434)</f>
        <v>20247</v>
      </c>
      <c r="G434" s="3">
        <f>SUMIFS(Лист2!$E:$E, Лист2!$A:$A, $A434, Лист2!$B:$B, $B434)</f>
        <v>18812</v>
      </c>
      <c r="H434">
        <f>IFERROR(Таблица1[[#This Row],[Товарооборот, руб]]/Таблица1[[#This Row],[Количество складов]],0)</f>
        <v>303705.20400000003</v>
      </c>
      <c r="I434">
        <f t="shared" si="6"/>
        <v>20</v>
      </c>
    </row>
    <row r="435" spans="1:9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>
        <f>SUMIFS(Лист2!$C:$C, Лист2!$A:$A, $A435, Лист2!$B:$B, $B435)</f>
        <v>125</v>
      </c>
      <c r="F435" s="3">
        <f>SUMIFS(Лист2!$D:$D, Лист2!$A:$A, $A435, Лист2!$B:$B, $B435)</f>
        <v>21862</v>
      </c>
      <c r="G435" s="3">
        <f>SUMIFS(Лист2!$E:$E, Лист2!$A:$A, $A435, Лист2!$B:$B, $B435)</f>
        <v>20235</v>
      </c>
      <c r="H435">
        <f>IFERROR(Таблица1[[#This Row],[Товарооборот, руб]]/Таблица1[[#This Row],[Количество складов]],0)</f>
        <v>338171.016</v>
      </c>
      <c r="I435">
        <f t="shared" si="6"/>
        <v>20</v>
      </c>
    </row>
    <row r="436" spans="1:9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>
        <f>SUMIFS(Лист2!$C:$C, Лист2!$A:$A, $A436, Лист2!$B:$B, $B436)</f>
        <v>36</v>
      </c>
      <c r="F436" s="3">
        <f>SUMIFS(Лист2!$D:$D, Лист2!$A:$A, $A436, Лист2!$B:$B, $B436)</f>
        <v>4951</v>
      </c>
      <c r="G436" s="3">
        <f>SUMIFS(Лист2!$E:$E, Лист2!$A:$A, $A436, Лист2!$B:$B, $B436)</f>
        <v>4584</v>
      </c>
      <c r="H436">
        <f>IFERROR(Таблица1[[#This Row],[Товарооборот, руб]]/Таблица1[[#This Row],[Количество складов]],0)</f>
        <v>166274.83333333334</v>
      </c>
      <c r="I436">
        <f t="shared" si="6"/>
        <v>22</v>
      </c>
    </row>
    <row r="437" spans="1:9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>
        <f>SUMIFS(Лист2!$C:$C, Лист2!$A:$A, $A437, Лист2!$B:$B, $B437)</f>
        <v>36</v>
      </c>
      <c r="F437" s="3">
        <f>SUMIFS(Лист2!$D:$D, Лист2!$A:$A, $A437, Лист2!$B:$B, $B437)</f>
        <v>4857</v>
      </c>
      <c r="G437" s="3">
        <f>SUMIFS(Лист2!$E:$E, Лист2!$A:$A, $A437, Лист2!$B:$B, $B437)</f>
        <v>4456</v>
      </c>
      <c r="H437">
        <f>IFERROR(Таблица1[[#This Row],[Товарооборот, руб]]/Таблица1[[#This Row],[Количество складов]],0)</f>
        <v>165096.91666666666</v>
      </c>
      <c r="I437">
        <f t="shared" si="6"/>
        <v>21</v>
      </c>
    </row>
    <row r="438" spans="1:9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>
        <f>SUMIFS(Лист2!$C:$C, Лист2!$A:$A, $A438, Лист2!$B:$B, $B438)</f>
        <v>37</v>
      </c>
      <c r="F438" s="3">
        <f>SUMIFS(Лист2!$D:$D, Лист2!$A:$A, $A438, Лист2!$B:$B, $B438)</f>
        <v>4722</v>
      </c>
      <c r="G438" s="3">
        <f>SUMIFS(Лист2!$E:$E, Лист2!$A:$A, $A438, Лист2!$B:$B, $B438)</f>
        <v>4352</v>
      </c>
      <c r="H438">
        <f>IFERROR(Таблица1[[#This Row],[Товарооборот, руб]]/Таблица1[[#This Row],[Количество складов]],0)</f>
        <v>156764.59459459459</v>
      </c>
      <c r="I438">
        <f t="shared" si="6"/>
        <v>22</v>
      </c>
    </row>
    <row r="439" spans="1:9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>
        <f>SUMIFS(Лист2!$C:$C, Лист2!$A:$A, $A439, Лист2!$B:$B, $B439)</f>
        <v>36</v>
      </c>
      <c r="F439" s="3">
        <f>SUMIFS(Лист2!$D:$D, Лист2!$A:$A, $A439, Лист2!$B:$B, $B439)</f>
        <v>4150</v>
      </c>
      <c r="G439" s="3">
        <f>SUMIFS(Лист2!$E:$E, Лист2!$A:$A, $A439, Лист2!$B:$B, $B439)</f>
        <v>3838</v>
      </c>
      <c r="H439">
        <f>IFERROR(Таблица1[[#This Row],[Товарооборот, руб]]/Таблица1[[#This Row],[Количество складов]],0)</f>
        <v>143838.04166666666</v>
      </c>
      <c r="I439">
        <f t="shared" si="6"/>
        <v>19</v>
      </c>
    </row>
    <row r="440" spans="1:9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>
        <f>SUMIFS(Лист2!$C:$C, Лист2!$A:$A, $A440, Лист2!$B:$B, $B440)</f>
        <v>124</v>
      </c>
      <c r="F440" s="3">
        <f>SUMIFS(Лист2!$D:$D, Лист2!$A:$A, $A440, Лист2!$B:$B, $B440)</f>
        <v>25828</v>
      </c>
      <c r="G440" s="3">
        <f>SUMIFS(Лист2!$E:$E, Лист2!$A:$A, $A440, Лист2!$B:$B, $B440)</f>
        <v>23974</v>
      </c>
      <c r="H440">
        <f>IFERROR(Таблица1[[#This Row],[Товарооборот, руб]]/Таблица1[[#This Row],[Количество складов]],0)</f>
        <v>436871.20161290321</v>
      </c>
      <c r="I440">
        <f t="shared" si="6"/>
        <v>22</v>
      </c>
    </row>
    <row r="441" spans="1:9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>
        <f>SUMIFS(Лист2!$C:$C, Лист2!$A:$A, $A441, Лист2!$B:$B, $B441)</f>
        <v>36</v>
      </c>
      <c r="F441" s="3">
        <f>SUMIFS(Лист2!$D:$D, Лист2!$A:$A, $A441, Лист2!$B:$B, $B441)</f>
        <v>4885</v>
      </c>
      <c r="G441" s="3">
        <f>SUMIFS(Лист2!$E:$E, Лист2!$A:$A, $A441, Лист2!$B:$B, $B441)</f>
        <v>4502</v>
      </c>
      <c r="H441">
        <f>IFERROR(Таблица1[[#This Row],[Товарооборот, руб]]/Таблица1[[#This Row],[Количество складов]],0)</f>
        <v>161068.79166666666</v>
      </c>
      <c r="I441">
        <f t="shared" si="6"/>
        <v>20</v>
      </c>
    </row>
    <row r="442" spans="1:9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>
        <f>SUMIFS(Лист2!$C:$C, Лист2!$A:$A, $A442, Лист2!$B:$B, $B442)</f>
        <v>36</v>
      </c>
      <c r="F442" s="3">
        <f>SUMIFS(Лист2!$D:$D, Лист2!$A:$A, $A442, Лист2!$B:$B, $B442)</f>
        <v>4285</v>
      </c>
      <c r="G442" s="3">
        <f>SUMIFS(Лист2!$E:$E, Лист2!$A:$A, $A442, Лист2!$B:$B, $B442)</f>
        <v>3950</v>
      </c>
      <c r="H442">
        <f>IFERROR(Таблица1[[#This Row],[Товарооборот, руб]]/Таблица1[[#This Row],[Количество складов]],0)</f>
        <v>149072.29166666666</v>
      </c>
      <c r="I442">
        <f t="shared" si="6"/>
        <v>20</v>
      </c>
    </row>
    <row r="443" spans="1:9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>
        <f>SUMIFS(Лист2!$C:$C, Лист2!$A:$A, $A443, Лист2!$B:$B, $B443)</f>
        <v>36</v>
      </c>
      <c r="F443" s="3">
        <f>SUMIFS(Лист2!$D:$D, Лист2!$A:$A, $A443, Лист2!$B:$B, $B443)</f>
        <v>4862</v>
      </c>
      <c r="G443" s="3">
        <f>SUMIFS(Лист2!$E:$E, Лист2!$A:$A, $A443, Лист2!$B:$B, $B443)</f>
        <v>4476</v>
      </c>
      <c r="H443">
        <f>IFERROR(Таблица1[[#This Row],[Товарооборот, руб]]/Таблица1[[#This Row],[Количество складов]],0)</f>
        <v>174832</v>
      </c>
      <c r="I443">
        <f t="shared" si="6"/>
        <v>20</v>
      </c>
    </row>
    <row r="444" spans="1:9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>
        <f>SUMIFS(Лист2!$C:$C, Лист2!$A:$A, $A444, Лист2!$B:$B, $B444)</f>
        <v>21</v>
      </c>
      <c r="F444" s="3">
        <f>SUMIFS(Лист2!$D:$D, Лист2!$A:$A, $A444, Лист2!$B:$B, $B444)</f>
        <v>2430</v>
      </c>
      <c r="G444" s="3">
        <f>SUMIFS(Лист2!$E:$E, Лист2!$A:$A, $A444, Лист2!$B:$B, $B444)</f>
        <v>2216</v>
      </c>
      <c r="H444">
        <f>IFERROR(Таблица1[[#This Row],[Товарооборот, руб]]/Таблица1[[#This Row],[Количество складов]],0)</f>
        <v>180040.57142857142</v>
      </c>
      <c r="I444">
        <f t="shared" si="6"/>
        <v>22</v>
      </c>
    </row>
    <row r="445" spans="1:9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>
        <f>SUMIFS(Лист2!$C:$C, Лист2!$A:$A, $A445, Лист2!$B:$B, $B445)</f>
        <v>21</v>
      </c>
      <c r="F445" s="3">
        <f>SUMIFS(Лист2!$D:$D, Лист2!$A:$A, $A445, Лист2!$B:$B, $B445)</f>
        <v>2861</v>
      </c>
      <c r="G445" s="3">
        <f>SUMIFS(Лист2!$E:$E, Лист2!$A:$A, $A445, Лист2!$B:$B, $B445)</f>
        <v>2612</v>
      </c>
      <c r="H445">
        <f>IFERROR(Таблица1[[#This Row],[Товарооборот, руб]]/Таблица1[[#This Row],[Количество складов]],0)</f>
        <v>230515.85714285713</v>
      </c>
      <c r="I445">
        <f t="shared" si="6"/>
        <v>21</v>
      </c>
    </row>
    <row r="446" spans="1:9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>
        <f>SUMIFS(Лист2!$C:$C, Лист2!$A:$A, $A446, Лист2!$B:$B, $B446)</f>
        <v>23</v>
      </c>
      <c r="F446" s="3">
        <f>SUMIFS(Лист2!$D:$D, Лист2!$A:$A, $A446, Лист2!$B:$B, $B446)</f>
        <v>2531</v>
      </c>
      <c r="G446" s="3">
        <f>SUMIFS(Лист2!$E:$E, Лист2!$A:$A, $A446, Лист2!$B:$B, $B446)</f>
        <v>2296</v>
      </c>
      <c r="H446">
        <f>IFERROR(Таблица1[[#This Row],[Товарооборот, руб]]/Таблица1[[#This Row],[Количество складов]],0)</f>
        <v>168054.39130434784</v>
      </c>
      <c r="I446">
        <f t="shared" si="6"/>
        <v>22</v>
      </c>
    </row>
    <row r="447" spans="1:9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>
        <f>SUMIFS(Лист2!$C:$C, Лист2!$A:$A, $A447, Лист2!$B:$B, $B447)</f>
        <v>21</v>
      </c>
      <c r="F447" s="3">
        <f>SUMIFS(Лист2!$D:$D, Лист2!$A:$A, $A447, Лист2!$B:$B, $B447)</f>
        <v>1916</v>
      </c>
      <c r="G447" s="3">
        <f>SUMIFS(Лист2!$E:$E, Лист2!$A:$A, $A447, Лист2!$B:$B, $B447)</f>
        <v>1733</v>
      </c>
      <c r="H447">
        <f>IFERROR(Таблица1[[#This Row],[Товарооборот, руб]]/Таблица1[[#This Row],[Количество складов]],0)</f>
        <v>146649.07142857142</v>
      </c>
      <c r="I447">
        <f t="shared" si="6"/>
        <v>19</v>
      </c>
    </row>
    <row r="448" spans="1:9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>
        <f>SUMIFS(Лист2!$C:$C, Лист2!$A:$A, $A448, Лист2!$B:$B, $B448)</f>
        <v>37</v>
      </c>
      <c r="F448" s="3">
        <f>SUMIFS(Лист2!$D:$D, Лист2!$A:$A, $A448, Лист2!$B:$B, $B448)</f>
        <v>5672</v>
      </c>
      <c r="G448" s="3">
        <f>SUMIFS(Лист2!$E:$E, Лист2!$A:$A, $A448, Лист2!$B:$B, $B448)</f>
        <v>5198</v>
      </c>
      <c r="H448">
        <f>IFERROR(Таблица1[[#This Row],[Товарооборот, руб]]/Таблица1[[#This Row],[Количество складов]],0)</f>
        <v>195362.02702702704</v>
      </c>
      <c r="I448">
        <f t="shared" si="6"/>
        <v>22</v>
      </c>
    </row>
    <row r="449" spans="1:9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>
        <f>SUMIFS(Лист2!$C:$C, Лист2!$A:$A, $A449, Лист2!$B:$B, $B449)</f>
        <v>21</v>
      </c>
      <c r="F449" s="3">
        <f>SUMIFS(Лист2!$D:$D, Лист2!$A:$A, $A449, Лист2!$B:$B, $B449)</f>
        <v>2136</v>
      </c>
      <c r="G449" s="3">
        <f>SUMIFS(Лист2!$E:$E, Лист2!$A:$A, $A449, Лист2!$B:$B, $B449)</f>
        <v>1947</v>
      </c>
      <c r="H449">
        <f>IFERROR(Таблица1[[#This Row],[Товарооборот, руб]]/Таблица1[[#This Row],[Количество складов]],0)</f>
        <v>160006.42857142858</v>
      </c>
      <c r="I449">
        <f t="shared" si="6"/>
        <v>20</v>
      </c>
    </row>
    <row r="450" spans="1:9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>
        <f>SUMIFS(Лист2!$C:$C, Лист2!$A:$A, $A450, Лист2!$B:$B, $B450)</f>
        <v>21</v>
      </c>
      <c r="F450" s="3">
        <f>SUMIFS(Лист2!$D:$D, Лист2!$A:$A, $A450, Лист2!$B:$B, $B450)</f>
        <v>1993</v>
      </c>
      <c r="G450" s="3">
        <f>SUMIFS(Лист2!$E:$E, Лист2!$A:$A, $A450, Лист2!$B:$B, $B450)</f>
        <v>1796</v>
      </c>
      <c r="H450">
        <f>IFERROR(Таблица1[[#This Row],[Товарооборот, руб]]/Таблица1[[#This Row],[Количество складов]],0)</f>
        <v>150784.71428571429</v>
      </c>
      <c r="I450">
        <f t="shared" ref="I450:I505" si="7">INT((A450-DATE(YEAR(A450),1,1)+WEEKDAY(A450,2)+6)/7)</f>
        <v>20</v>
      </c>
    </row>
    <row r="451" spans="1:9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>
        <f>SUMIFS(Лист2!$C:$C, Лист2!$A:$A, $A451, Лист2!$B:$B, $B451)</f>
        <v>21</v>
      </c>
      <c r="F451" s="3">
        <f>SUMIFS(Лист2!$D:$D, Лист2!$A:$A, $A451, Лист2!$B:$B, $B451)</f>
        <v>2255</v>
      </c>
      <c r="G451" s="3">
        <f>SUMIFS(Лист2!$E:$E, Лист2!$A:$A, $A451, Лист2!$B:$B, $B451)</f>
        <v>2045</v>
      </c>
      <c r="H451">
        <f>IFERROR(Таблица1[[#This Row],[Товарооборот, руб]]/Таблица1[[#This Row],[Количество складов]],0)</f>
        <v>179631.35714285713</v>
      </c>
      <c r="I451">
        <f t="shared" si="7"/>
        <v>20</v>
      </c>
    </row>
    <row r="452" spans="1:9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>
        <f>SUMIFS(Лист2!$C:$C, Лист2!$A:$A, $A452, Лист2!$B:$B, $B452)</f>
        <v>22</v>
      </c>
      <c r="F452" s="3">
        <f>SUMIFS(Лист2!$D:$D, Лист2!$A:$A, $A452, Лист2!$B:$B, $B452)</f>
        <v>2597</v>
      </c>
      <c r="G452" s="3">
        <f>SUMIFS(Лист2!$E:$E, Лист2!$A:$A, $A452, Лист2!$B:$B, $B452)</f>
        <v>2379</v>
      </c>
      <c r="H452">
        <f>IFERROR(Таблица1[[#This Row],[Товарооборот, руб]]/Таблица1[[#This Row],[Количество складов]],0)</f>
        <v>186754.36363636365</v>
      </c>
      <c r="I452">
        <f t="shared" si="7"/>
        <v>22</v>
      </c>
    </row>
    <row r="453" spans="1:9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>
        <f>SUMIFS(Лист2!$C:$C, Лист2!$A:$A, $A453, Лист2!$B:$B, $B453)</f>
        <v>17</v>
      </c>
      <c r="F453" s="3">
        <f>SUMIFS(Лист2!$D:$D, Лист2!$A:$A, $A453, Лист2!$B:$B, $B453)</f>
        <v>1203</v>
      </c>
      <c r="G453" s="3">
        <f>SUMIFS(Лист2!$E:$E, Лист2!$A:$A, $A453, Лист2!$B:$B, $B453)</f>
        <v>1077</v>
      </c>
      <c r="H453">
        <f>IFERROR(Таблица1[[#This Row],[Товарооборот, руб]]/Таблица1[[#This Row],[Количество складов]],0)</f>
        <v>94299.088235294112</v>
      </c>
      <c r="I453">
        <f t="shared" si="7"/>
        <v>22</v>
      </c>
    </row>
    <row r="454" spans="1:9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>
        <f>SUMIFS(Лист2!$C:$C, Лист2!$A:$A, $A454, Лист2!$B:$B, $B454)</f>
        <v>17</v>
      </c>
      <c r="F454" s="3">
        <f>SUMIFS(Лист2!$D:$D, Лист2!$A:$A, $A454, Лист2!$B:$B, $B454)</f>
        <v>1268</v>
      </c>
      <c r="G454" s="3">
        <f>SUMIFS(Лист2!$E:$E, Лист2!$A:$A, $A454, Лист2!$B:$B, $B454)</f>
        <v>1129</v>
      </c>
      <c r="H454">
        <f>IFERROR(Таблица1[[#This Row],[Товарооборот, руб]]/Таблица1[[#This Row],[Количество складов]],0)</f>
        <v>104372.29411764706</v>
      </c>
      <c r="I454">
        <f t="shared" si="7"/>
        <v>21</v>
      </c>
    </row>
    <row r="455" spans="1:9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>
        <f>SUMIFS(Лист2!$C:$C, Лист2!$A:$A, $A455, Лист2!$B:$B, $B455)</f>
        <v>17</v>
      </c>
      <c r="F455" s="3">
        <f>SUMIFS(Лист2!$D:$D, Лист2!$A:$A, $A455, Лист2!$B:$B, $B455)</f>
        <v>1185</v>
      </c>
      <c r="G455" s="3">
        <f>SUMIFS(Лист2!$E:$E, Лист2!$A:$A, $A455, Лист2!$B:$B, $B455)</f>
        <v>1042</v>
      </c>
      <c r="H455">
        <f>IFERROR(Таблица1[[#This Row],[Товарооборот, руб]]/Таблица1[[#This Row],[Количество складов]],0)</f>
        <v>89800.5</v>
      </c>
      <c r="I455">
        <f t="shared" si="7"/>
        <v>22</v>
      </c>
    </row>
    <row r="456" spans="1:9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>
        <f>SUMIFS(Лист2!$C:$C, Лист2!$A:$A, $A456, Лист2!$B:$B, $B456)</f>
        <v>15</v>
      </c>
      <c r="F456" s="3">
        <f>SUMIFS(Лист2!$D:$D, Лист2!$A:$A, $A456, Лист2!$B:$B, $B456)</f>
        <v>812</v>
      </c>
      <c r="G456" s="3">
        <f>SUMIFS(Лист2!$E:$E, Лист2!$A:$A, $A456, Лист2!$B:$B, $B456)</f>
        <v>714</v>
      </c>
      <c r="H456">
        <f>IFERROR(Таблица1[[#This Row],[Товарооборот, руб]]/Таблица1[[#This Row],[Количество складов]],0)</f>
        <v>73066.8</v>
      </c>
      <c r="I456">
        <f t="shared" si="7"/>
        <v>19</v>
      </c>
    </row>
    <row r="457" spans="1:9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>
        <f>SUMIFS(Лист2!$C:$C, Лист2!$A:$A, $A457, Лист2!$B:$B, $B457)</f>
        <v>16</v>
      </c>
      <c r="F457" s="3">
        <f>SUMIFS(Лист2!$D:$D, Лист2!$A:$A, $A457, Лист2!$B:$B, $B457)</f>
        <v>925</v>
      </c>
      <c r="G457" s="3">
        <f>SUMIFS(Лист2!$E:$E, Лист2!$A:$A, $A457, Лист2!$B:$B, $B457)</f>
        <v>816</v>
      </c>
      <c r="H457">
        <f>IFERROR(Таблица1[[#This Row],[Товарооборот, руб]]/Таблица1[[#This Row],[Количество складов]],0)</f>
        <v>77885.15625</v>
      </c>
      <c r="I457">
        <f t="shared" si="7"/>
        <v>20</v>
      </c>
    </row>
    <row r="458" spans="1:9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>
        <f>SUMIFS(Лист2!$C:$C, Лист2!$A:$A, $A458, Лист2!$B:$B, $B458)</f>
        <v>15</v>
      </c>
      <c r="F458" s="3">
        <f>SUMIFS(Лист2!$D:$D, Лист2!$A:$A, $A458, Лист2!$B:$B, $B458)</f>
        <v>890</v>
      </c>
      <c r="G458" s="3">
        <f>SUMIFS(Лист2!$E:$E, Лист2!$A:$A, $A458, Лист2!$B:$B, $B458)</f>
        <v>777</v>
      </c>
      <c r="H458">
        <f>IFERROR(Таблица1[[#This Row],[Товарооборот, руб]]/Таблица1[[#This Row],[Количество складов]],0)</f>
        <v>81566.100000000006</v>
      </c>
      <c r="I458">
        <f t="shared" si="7"/>
        <v>20</v>
      </c>
    </row>
    <row r="459" spans="1:9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>
        <f>SUMIFS(Лист2!$C:$C, Лист2!$A:$A, $A459, Лист2!$B:$B, $B459)</f>
        <v>15</v>
      </c>
      <c r="F459" s="3">
        <f>SUMIFS(Лист2!$D:$D, Лист2!$A:$A, $A459, Лист2!$B:$B, $B459)</f>
        <v>980</v>
      </c>
      <c r="G459" s="3">
        <f>SUMIFS(Лист2!$E:$E, Лист2!$A:$A, $A459, Лист2!$B:$B, $B459)</f>
        <v>867</v>
      </c>
      <c r="H459">
        <f>IFERROR(Таблица1[[#This Row],[Товарооборот, руб]]/Таблица1[[#This Row],[Количество складов]],0)</f>
        <v>91365.5</v>
      </c>
      <c r="I459">
        <f t="shared" si="7"/>
        <v>20</v>
      </c>
    </row>
    <row r="460" spans="1:9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>
        <f>SUMIFS(Лист2!$C:$C, Лист2!$A:$A, $A460, Лист2!$B:$B, $B460)</f>
        <v>15</v>
      </c>
      <c r="F460" s="3">
        <f>SUMIFS(Лист2!$D:$D, Лист2!$A:$A, $A460, Лист2!$B:$B, $B460)</f>
        <v>809</v>
      </c>
      <c r="G460" s="3">
        <f>SUMIFS(Лист2!$E:$E, Лист2!$A:$A, $A460, Лист2!$B:$B, $B460)</f>
        <v>702</v>
      </c>
      <c r="H460">
        <f>IFERROR(Таблица1[[#This Row],[Товарооборот, руб]]/Таблица1[[#This Row],[Количество складов]],0)</f>
        <v>80763.8</v>
      </c>
      <c r="I460">
        <f t="shared" si="7"/>
        <v>22</v>
      </c>
    </row>
    <row r="461" spans="1:9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>
        <f>SUMIFS(Лист2!$C:$C, Лист2!$A:$A, $A461, Лист2!$B:$B, $B461)</f>
        <v>15</v>
      </c>
      <c r="F461" s="3">
        <f>SUMIFS(Лист2!$D:$D, Лист2!$A:$A, $A461, Лист2!$B:$B, $B461)</f>
        <v>903</v>
      </c>
      <c r="G461" s="3">
        <f>SUMIFS(Лист2!$E:$E, Лист2!$A:$A, $A461, Лист2!$B:$B, $B461)</f>
        <v>792</v>
      </c>
      <c r="H461">
        <f>IFERROR(Таблица1[[#This Row],[Товарооборот, руб]]/Таблица1[[#This Row],[Количество складов]],0)</f>
        <v>94127.3</v>
      </c>
      <c r="I461">
        <f t="shared" si="7"/>
        <v>21</v>
      </c>
    </row>
    <row r="462" spans="1:9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>
        <f>SUMIFS(Лист2!$C:$C, Лист2!$A:$A, $A462, Лист2!$B:$B, $B462)</f>
        <v>16</v>
      </c>
      <c r="F462" s="3">
        <f>SUMIFS(Лист2!$D:$D, Лист2!$A:$A, $A462, Лист2!$B:$B, $B462)</f>
        <v>1019</v>
      </c>
      <c r="G462" s="3">
        <f>SUMIFS(Лист2!$E:$E, Лист2!$A:$A, $A462, Лист2!$B:$B, $B462)</f>
        <v>895</v>
      </c>
      <c r="H462">
        <f>IFERROR(Таблица1[[#This Row],[Товарооборот, руб]]/Таблица1[[#This Row],[Количество складов]],0)</f>
        <v>97852.03125</v>
      </c>
      <c r="I462">
        <f t="shared" si="7"/>
        <v>22</v>
      </c>
    </row>
    <row r="463" spans="1:9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>
        <f>SUMIFS(Лист2!$C:$C, Лист2!$A:$A, $A463, Лист2!$B:$B, $B463)</f>
        <v>15</v>
      </c>
      <c r="F463" s="3">
        <f>SUMIFS(Лист2!$D:$D, Лист2!$A:$A, $A463, Лист2!$B:$B, $B463)</f>
        <v>684</v>
      </c>
      <c r="G463" s="3">
        <f>SUMIFS(Лист2!$E:$E, Лист2!$A:$A, $A463, Лист2!$B:$B, $B463)</f>
        <v>585</v>
      </c>
      <c r="H463">
        <f>IFERROR(Таблица1[[#This Row],[Товарооборот, руб]]/Таблица1[[#This Row],[Количество складов]],0)</f>
        <v>72077.2</v>
      </c>
      <c r="I463">
        <f t="shared" si="7"/>
        <v>19</v>
      </c>
    </row>
    <row r="464" spans="1:9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>
        <f>SUMIFS(Лист2!$C:$C, Лист2!$A:$A, $A464, Лист2!$B:$B, $B464)</f>
        <v>17</v>
      </c>
      <c r="F464" s="3">
        <f>SUMIFS(Лист2!$D:$D, Лист2!$A:$A, $A464, Лист2!$B:$B, $B464)</f>
        <v>1296</v>
      </c>
      <c r="G464" s="3">
        <f>SUMIFS(Лист2!$E:$E, Лист2!$A:$A, $A464, Лист2!$B:$B, $B464)</f>
        <v>1153</v>
      </c>
      <c r="H464">
        <f>IFERROR(Таблица1[[#This Row],[Товарооборот, руб]]/Таблица1[[#This Row],[Количество складов]],0)</f>
        <v>103804.05882352941</v>
      </c>
      <c r="I464">
        <f t="shared" si="7"/>
        <v>22</v>
      </c>
    </row>
    <row r="465" spans="1:9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>
        <f>SUMIFS(Лист2!$C:$C, Лист2!$A:$A, $A465, Лист2!$B:$B, $B465)</f>
        <v>15</v>
      </c>
      <c r="F465" s="3">
        <f>SUMIFS(Лист2!$D:$D, Лист2!$A:$A, $A465, Лист2!$B:$B, $B465)</f>
        <v>729</v>
      </c>
      <c r="G465" s="3">
        <f>SUMIFS(Лист2!$E:$E, Лист2!$A:$A, $A465, Лист2!$B:$B, $B465)</f>
        <v>636</v>
      </c>
      <c r="H465">
        <f>IFERROR(Таблица1[[#This Row],[Товарооборот, руб]]/Таблица1[[#This Row],[Количество складов]],0)</f>
        <v>74343.100000000006</v>
      </c>
      <c r="I465">
        <f t="shared" si="7"/>
        <v>20</v>
      </c>
    </row>
    <row r="466" spans="1:9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>
        <f>SUMIFS(Лист2!$C:$C, Лист2!$A:$A, $A466, Лист2!$B:$B, $B466)</f>
        <v>15</v>
      </c>
      <c r="F466" s="3">
        <f>SUMIFS(Лист2!$D:$D, Лист2!$A:$A, $A466, Лист2!$B:$B, $B466)</f>
        <v>638</v>
      </c>
      <c r="G466" s="3">
        <f>SUMIFS(Лист2!$E:$E, Лист2!$A:$A, $A466, Лист2!$B:$B, $B466)</f>
        <v>548</v>
      </c>
      <c r="H466">
        <f>IFERROR(Таблица1[[#This Row],[Товарооборот, руб]]/Таблица1[[#This Row],[Количество складов]],0)</f>
        <v>64233.5</v>
      </c>
      <c r="I466">
        <f t="shared" si="7"/>
        <v>20</v>
      </c>
    </row>
    <row r="467" spans="1:9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>
        <f>SUMIFS(Лист2!$C:$C, Лист2!$A:$A, $A467, Лист2!$B:$B, $B467)</f>
        <v>15</v>
      </c>
      <c r="F467" s="3">
        <f>SUMIFS(Лист2!$D:$D, Лист2!$A:$A, $A467, Лист2!$B:$B, $B467)</f>
        <v>688</v>
      </c>
      <c r="G467" s="3">
        <f>SUMIFS(Лист2!$E:$E, Лист2!$A:$A, $A467, Лист2!$B:$B, $B467)</f>
        <v>598</v>
      </c>
      <c r="H467">
        <f>IFERROR(Таблица1[[#This Row],[Товарооборот, руб]]/Таблица1[[#This Row],[Количество складов]],0)</f>
        <v>74848.7</v>
      </c>
      <c r="I467">
        <f t="shared" si="7"/>
        <v>20</v>
      </c>
    </row>
    <row r="468" spans="1:9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>
        <f>SUMIFS(Лист2!$C:$C, Лист2!$A:$A, $A468, Лист2!$B:$B, $B468)</f>
        <v>20</v>
      </c>
      <c r="F468" s="3">
        <f>SUMIFS(Лист2!$D:$D, Лист2!$A:$A, $A468, Лист2!$B:$B, $B468)</f>
        <v>1873</v>
      </c>
      <c r="G468" s="3">
        <f>SUMIFS(Лист2!$E:$E, Лист2!$A:$A, $A468, Лист2!$B:$B, $B468)</f>
        <v>1715</v>
      </c>
      <c r="H468">
        <f>IFERROR(Таблица1[[#This Row],[Товарооборот, руб]]/Таблица1[[#This Row],[Количество складов]],0)</f>
        <v>122927.77499999999</v>
      </c>
      <c r="I468">
        <f t="shared" si="7"/>
        <v>22</v>
      </c>
    </row>
    <row r="469" spans="1:9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>
        <f>SUMIFS(Лист2!$C:$C, Лист2!$A:$A, $A469, Лист2!$B:$B, $B469)</f>
        <v>19</v>
      </c>
      <c r="F469" s="3">
        <f>SUMIFS(Лист2!$D:$D, Лист2!$A:$A, $A469, Лист2!$B:$B, $B469)</f>
        <v>1859</v>
      </c>
      <c r="G469" s="3">
        <f>SUMIFS(Лист2!$E:$E, Лист2!$A:$A, $A469, Лист2!$B:$B, $B469)</f>
        <v>1697</v>
      </c>
      <c r="H469">
        <f>IFERROR(Таблица1[[#This Row],[Товарооборот, руб]]/Таблица1[[#This Row],[Количество складов]],0)</f>
        <v>133721.84210526315</v>
      </c>
      <c r="I469">
        <f t="shared" si="7"/>
        <v>21</v>
      </c>
    </row>
    <row r="470" spans="1:9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>
        <f>SUMIFS(Лист2!$C:$C, Лист2!$A:$A, $A470, Лист2!$B:$B, $B470)</f>
        <v>21</v>
      </c>
      <c r="F470" s="3">
        <f>SUMIFS(Лист2!$D:$D, Лист2!$A:$A, $A470, Лист2!$B:$B, $B470)</f>
        <v>1879</v>
      </c>
      <c r="G470" s="3">
        <f>SUMIFS(Лист2!$E:$E, Лист2!$A:$A, $A470, Лист2!$B:$B, $B470)</f>
        <v>1720</v>
      </c>
      <c r="H470">
        <f>IFERROR(Таблица1[[#This Row],[Товарооборот, руб]]/Таблица1[[#This Row],[Количество складов]],0)</f>
        <v>120903.21428571429</v>
      </c>
      <c r="I470">
        <f t="shared" si="7"/>
        <v>22</v>
      </c>
    </row>
    <row r="471" spans="1:9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>
        <f>SUMIFS(Лист2!$C:$C, Лист2!$A:$A, $A471, Лист2!$B:$B, $B471)</f>
        <v>19</v>
      </c>
      <c r="F471" s="3">
        <f>SUMIFS(Лист2!$D:$D, Лист2!$A:$A, $A471, Лист2!$B:$B, $B471)</f>
        <v>1527</v>
      </c>
      <c r="G471" s="3">
        <f>SUMIFS(Лист2!$E:$E, Лист2!$A:$A, $A471, Лист2!$B:$B, $B471)</f>
        <v>1389</v>
      </c>
      <c r="H471">
        <f>IFERROR(Таблица1[[#This Row],[Товарооборот, руб]]/Таблица1[[#This Row],[Количество складов]],0)</f>
        <v>113913.94736842105</v>
      </c>
      <c r="I471">
        <f t="shared" si="7"/>
        <v>19</v>
      </c>
    </row>
    <row r="472" spans="1:9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>
        <f>SUMIFS(Лист2!$C:$C, Лист2!$A:$A, $A472, Лист2!$B:$B, $B472)</f>
        <v>16</v>
      </c>
      <c r="F472" s="3">
        <f>SUMIFS(Лист2!$D:$D, Лист2!$A:$A, $A472, Лист2!$B:$B, $B472)</f>
        <v>981</v>
      </c>
      <c r="G472" s="3">
        <f>SUMIFS(Лист2!$E:$E, Лист2!$A:$A, $A472, Лист2!$B:$B, $B472)</f>
        <v>859</v>
      </c>
      <c r="H472">
        <f>IFERROR(Таблица1[[#This Row],[Товарооборот, руб]]/Таблица1[[#This Row],[Количество складов]],0)</f>
        <v>96813.75</v>
      </c>
      <c r="I472">
        <f t="shared" si="7"/>
        <v>22</v>
      </c>
    </row>
    <row r="473" spans="1:9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>
        <f>SUMIFS(Лист2!$C:$C, Лист2!$A:$A, $A473, Лист2!$B:$B, $B473)</f>
        <v>19</v>
      </c>
      <c r="F473" s="3">
        <f>SUMIFS(Лист2!$D:$D, Лист2!$A:$A, $A473, Лист2!$B:$B, $B473)</f>
        <v>1741</v>
      </c>
      <c r="G473" s="3">
        <f>SUMIFS(Лист2!$E:$E, Лист2!$A:$A, $A473, Лист2!$B:$B, $B473)</f>
        <v>1597</v>
      </c>
      <c r="H473">
        <f>IFERROR(Таблица1[[#This Row],[Товарооборот, руб]]/Таблица1[[#This Row],[Количество складов]],0)</f>
        <v>122341.57894736843</v>
      </c>
      <c r="I473">
        <f t="shared" si="7"/>
        <v>20</v>
      </c>
    </row>
    <row r="474" spans="1:9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>
        <f>SUMIFS(Лист2!$C:$C, Лист2!$A:$A, $A474, Лист2!$B:$B, $B474)</f>
        <v>19</v>
      </c>
      <c r="F474" s="3">
        <f>SUMIFS(Лист2!$D:$D, Лист2!$A:$A, $A474, Лист2!$B:$B, $B474)</f>
        <v>1635</v>
      </c>
      <c r="G474" s="3">
        <f>SUMIFS(Лист2!$E:$E, Лист2!$A:$A, $A474, Лист2!$B:$B, $B474)</f>
        <v>1487</v>
      </c>
      <c r="H474">
        <f>IFERROR(Таблица1[[#This Row],[Товарооборот, руб]]/Таблица1[[#This Row],[Количество складов]],0)</f>
        <v>117123.23684210527</v>
      </c>
      <c r="I474">
        <f t="shared" si="7"/>
        <v>20</v>
      </c>
    </row>
    <row r="475" spans="1:9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>
        <f>SUMIFS(Лист2!$C:$C, Лист2!$A:$A, $A475, Лист2!$B:$B, $B475)</f>
        <v>19</v>
      </c>
      <c r="F475" s="3">
        <f>SUMIFS(Лист2!$D:$D, Лист2!$A:$A, $A475, Лист2!$B:$B, $B475)</f>
        <v>1780</v>
      </c>
      <c r="G475" s="3">
        <f>SUMIFS(Лист2!$E:$E, Лист2!$A:$A, $A475, Лист2!$B:$B, $B475)</f>
        <v>1615</v>
      </c>
      <c r="H475">
        <f>IFERROR(Таблица1[[#This Row],[Товарооборот, руб]]/Таблица1[[#This Row],[Количество складов]],0)</f>
        <v>130394.05263157895</v>
      </c>
      <c r="I475">
        <f t="shared" si="7"/>
        <v>20</v>
      </c>
    </row>
    <row r="476" spans="1:9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>
        <f>SUMIFS(Лист2!$C:$C, Лист2!$A:$A, $A476, Лист2!$B:$B, $B476)</f>
        <v>20</v>
      </c>
      <c r="F476" s="3">
        <f>SUMIFS(Лист2!$D:$D, Лист2!$A:$A, $A476, Лист2!$B:$B, $B476)</f>
        <v>2064</v>
      </c>
      <c r="G476" s="3">
        <f>SUMIFS(Лист2!$E:$E, Лист2!$A:$A, $A476, Лист2!$B:$B, $B476)</f>
        <v>1896</v>
      </c>
      <c r="H476">
        <f>IFERROR(Таблица1[[#This Row],[Товарооборот, руб]]/Таблица1[[#This Row],[Количество складов]],0)</f>
        <v>142737.07500000001</v>
      </c>
      <c r="I476">
        <f t="shared" si="7"/>
        <v>22</v>
      </c>
    </row>
    <row r="477" spans="1:9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>
        <f>SUMIFS(Лист2!$C:$C, Лист2!$A:$A, $A477, Лист2!$B:$B, $B477)</f>
        <v>59</v>
      </c>
      <c r="F477" s="3">
        <f>SUMIFS(Лист2!$D:$D, Лист2!$A:$A, $A477, Лист2!$B:$B, $B477)</f>
        <v>13942</v>
      </c>
      <c r="G477" s="3">
        <f>SUMIFS(Лист2!$E:$E, Лист2!$A:$A, $A477, Лист2!$B:$B, $B477)</f>
        <v>12986</v>
      </c>
      <c r="H477">
        <f>IFERROR(Таблица1[[#This Row],[Товарооборот, руб]]/Таблица1[[#This Row],[Количество складов]],0)</f>
        <v>378683.05932203389</v>
      </c>
      <c r="I477">
        <f t="shared" si="7"/>
        <v>22</v>
      </c>
    </row>
    <row r="478" spans="1:9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>
        <f>SUMIFS(Лист2!$C:$C, Лист2!$A:$A, $A478, Лист2!$B:$B, $B478)</f>
        <v>60</v>
      </c>
      <c r="F478" s="3">
        <f>SUMIFS(Лист2!$D:$D, Лист2!$A:$A, $A478, Лист2!$B:$B, $B478)</f>
        <v>14050</v>
      </c>
      <c r="G478" s="3">
        <f>SUMIFS(Лист2!$E:$E, Лист2!$A:$A, $A478, Лист2!$B:$B, $B478)</f>
        <v>13027</v>
      </c>
      <c r="H478">
        <f>IFERROR(Таблица1[[#This Row],[Товарооборот, руб]]/Таблица1[[#This Row],[Количество складов]],0)</f>
        <v>373012.875</v>
      </c>
      <c r="I478">
        <f t="shared" si="7"/>
        <v>21</v>
      </c>
    </row>
    <row r="479" spans="1:9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>
        <f>SUMIFS(Лист2!$C:$C, Лист2!$A:$A, $A479, Лист2!$B:$B, $B479)</f>
        <v>59</v>
      </c>
      <c r="F479" s="3">
        <f>SUMIFS(Лист2!$D:$D, Лист2!$A:$A, $A479, Лист2!$B:$B, $B479)</f>
        <v>12299</v>
      </c>
      <c r="G479" s="3">
        <f>SUMIFS(Лист2!$E:$E, Лист2!$A:$A, $A479, Лист2!$B:$B, $B479)</f>
        <v>11448</v>
      </c>
      <c r="H479">
        <f>IFERROR(Таблица1[[#This Row],[Товарооборот, руб]]/Таблица1[[#This Row],[Количество складов]],0)</f>
        <v>329921.56779661018</v>
      </c>
      <c r="I479">
        <f t="shared" si="7"/>
        <v>22</v>
      </c>
    </row>
    <row r="480" spans="1:9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>
        <f>SUMIFS(Лист2!$C:$C, Лист2!$A:$A, $A480, Лист2!$B:$B, $B480)</f>
        <v>60</v>
      </c>
      <c r="F480" s="3">
        <f>SUMIFS(Лист2!$D:$D, Лист2!$A:$A, $A480, Лист2!$B:$B, $B480)</f>
        <v>11100</v>
      </c>
      <c r="G480" s="3">
        <f>SUMIFS(Лист2!$E:$E, Лист2!$A:$A, $A480, Лист2!$B:$B, $B480)</f>
        <v>10407</v>
      </c>
      <c r="H480">
        <f>IFERROR(Таблица1[[#This Row],[Товарооборот, руб]]/Таблица1[[#This Row],[Количество складов]],0)</f>
        <v>298652.40000000002</v>
      </c>
      <c r="I480">
        <f t="shared" si="7"/>
        <v>19</v>
      </c>
    </row>
    <row r="481" spans="1:9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>
        <f>SUMIFS(Лист2!$C:$C, Лист2!$A:$A, $A481, Лист2!$B:$B, $B481)</f>
        <v>60</v>
      </c>
      <c r="F481" s="3">
        <f>SUMIFS(Лист2!$D:$D, Лист2!$A:$A, $A481, Лист2!$B:$B, $B481)</f>
        <v>12460</v>
      </c>
      <c r="G481" s="3">
        <f>SUMIFS(Лист2!$E:$E, Лист2!$A:$A, $A481, Лист2!$B:$B, $B481)</f>
        <v>11665</v>
      </c>
      <c r="H481">
        <f>IFERROR(Таблица1[[#This Row],[Товарооборот, руб]]/Таблица1[[#This Row],[Количество складов]],0)</f>
        <v>340373.92499999999</v>
      </c>
      <c r="I481">
        <f t="shared" si="7"/>
        <v>20</v>
      </c>
    </row>
    <row r="482" spans="1:9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>
        <f>SUMIFS(Лист2!$C:$C, Лист2!$A:$A, $A482, Лист2!$B:$B, $B482)</f>
        <v>60</v>
      </c>
      <c r="F482" s="3">
        <f>SUMIFS(Лист2!$D:$D, Лист2!$A:$A, $A482, Лист2!$B:$B, $B482)</f>
        <v>11935</v>
      </c>
      <c r="G482" s="3">
        <f>SUMIFS(Лист2!$E:$E, Лист2!$A:$A, $A482, Лист2!$B:$B, $B482)</f>
        <v>11178</v>
      </c>
      <c r="H482">
        <f>IFERROR(Таблица1[[#This Row],[Товарооборот, руб]]/Таблица1[[#This Row],[Количество складов]],0)</f>
        <v>332373.92499999999</v>
      </c>
      <c r="I482">
        <f t="shared" si="7"/>
        <v>20</v>
      </c>
    </row>
    <row r="483" spans="1:9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>
        <f>SUMIFS(Лист2!$C:$C, Лист2!$A:$A, $A483, Лист2!$B:$B, $B483)</f>
        <v>60</v>
      </c>
      <c r="F483" s="3">
        <f>SUMIFS(Лист2!$D:$D, Лист2!$A:$A, $A483, Лист2!$B:$B, $B483)</f>
        <v>13544</v>
      </c>
      <c r="G483" s="3">
        <f>SUMIFS(Лист2!$E:$E, Лист2!$A:$A, $A483, Лист2!$B:$B, $B483)</f>
        <v>12643</v>
      </c>
      <c r="H483">
        <f>IFERROR(Таблица1[[#This Row],[Товарооборот, руб]]/Таблица1[[#This Row],[Количество складов]],0)</f>
        <v>384753.7</v>
      </c>
      <c r="I483">
        <f t="shared" si="7"/>
        <v>20</v>
      </c>
    </row>
    <row r="484" spans="1:9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>
        <f>SUMIFS(Лист2!$C:$C, Лист2!$A:$A, $A484, Лист2!$B:$B, $B484)</f>
        <v>54</v>
      </c>
      <c r="F484" s="3">
        <f>SUMIFS(Лист2!$D:$D, Лист2!$A:$A, $A484, Лист2!$B:$B, $B484)</f>
        <v>13091</v>
      </c>
      <c r="G484" s="3">
        <f>SUMIFS(Лист2!$E:$E, Лист2!$A:$A, $A484, Лист2!$B:$B, $B484)</f>
        <v>12216</v>
      </c>
      <c r="H484">
        <f>IFERROR(Таблица1[[#This Row],[Товарооборот, руб]]/Таблица1[[#This Row],[Количество складов]],0)</f>
        <v>388024.52777777775</v>
      </c>
      <c r="I484">
        <f t="shared" si="7"/>
        <v>22</v>
      </c>
    </row>
    <row r="485" spans="1:9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>
        <f>SUMIFS(Лист2!$C:$C, Лист2!$A:$A, $A485, Лист2!$B:$B, $B485)</f>
        <v>54</v>
      </c>
      <c r="F485" s="3">
        <f>SUMIFS(Лист2!$D:$D, Лист2!$A:$A, $A485, Лист2!$B:$B, $B485)</f>
        <v>13014</v>
      </c>
      <c r="G485" s="3">
        <f>SUMIFS(Лист2!$E:$E, Лист2!$A:$A, $A485, Лист2!$B:$B, $B485)</f>
        <v>12095</v>
      </c>
      <c r="H485">
        <f>IFERROR(Таблица1[[#This Row],[Товарооборот, руб]]/Таблица1[[#This Row],[Количество складов]],0)</f>
        <v>385418.25</v>
      </c>
      <c r="I485">
        <f t="shared" si="7"/>
        <v>21</v>
      </c>
    </row>
    <row r="486" spans="1:9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>
        <f>SUMIFS(Лист2!$C:$C, Лист2!$A:$A, $A486, Лист2!$B:$B, $B486)</f>
        <v>54</v>
      </c>
      <c r="F486" s="3">
        <f>SUMIFS(Лист2!$D:$D, Лист2!$A:$A, $A486, Лист2!$B:$B, $B486)</f>
        <v>11864</v>
      </c>
      <c r="G486" s="3">
        <f>SUMIFS(Лист2!$E:$E, Лист2!$A:$A, $A486, Лист2!$B:$B, $B486)</f>
        <v>11071</v>
      </c>
      <c r="H486">
        <f>IFERROR(Таблица1[[#This Row],[Товарооборот, руб]]/Таблица1[[#This Row],[Количество складов]],0)</f>
        <v>350262.86111111112</v>
      </c>
      <c r="I486">
        <f t="shared" si="7"/>
        <v>22</v>
      </c>
    </row>
    <row r="487" spans="1:9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>
        <f>SUMIFS(Лист2!$C:$C, Лист2!$A:$A, $A487, Лист2!$B:$B, $B487)</f>
        <v>54</v>
      </c>
      <c r="F487" s="3">
        <f>SUMIFS(Лист2!$D:$D, Лист2!$A:$A, $A487, Лист2!$B:$B, $B487)</f>
        <v>10570</v>
      </c>
      <c r="G487" s="3">
        <f>SUMIFS(Лист2!$E:$E, Лист2!$A:$A, $A487, Лист2!$B:$B, $B487)</f>
        <v>9926</v>
      </c>
      <c r="H487">
        <f>IFERROR(Таблица1[[#This Row],[Товарооборот, руб]]/Таблица1[[#This Row],[Количество складов]],0)</f>
        <v>314282.05555555556</v>
      </c>
      <c r="I487">
        <f t="shared" si="7"/>
        <v>19</v>
      </c>
    </row>
    <row r="488" spans="1:9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>
        <f>SUMIFS(Лист2!$C:$C, Лист2!$A:$A, $A488, Лист2!$B:$B, $B488)</f>
        <v>59</v>
      </c>
      <c r="F488" s="3">
        <f>SUMIFS(Лист2!$D:$D, Лист2!$A:$A, $A488, Лист2!$B:$B, $B488)</f>
        <v>14507</v>
      </c>
      <c r="G488" s="3">
        <f>SUMIFS(Лист2!$E:$E, Лист2!$A:$A, $A488, Лист2!$B:$B, $B488)</f>
        <v>13386</v>
      </c>
      <c r="H488">
        <f>IFERROR(Таблица1[[#This Row],[Товарооборот, руб]]/Таблица1[[#This Row],[Количество складов]],0)</f>
        <v>391871.92372881353</v>
      </c>
      <c r="I488">
        <f t="shared" si="7"/>
        <v>22</v>
      </c>
    </row>
    <row r="489" spans="1:9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>
        <f>SUMIFS(Лист2!$C:$C, Лист2!$A:$A, $A489, Лист2!$B:$B, $B489)</f>
        <v>54</v>
      </c>
      <c r="F489" s="3">
        <f>SUMIFS(Лист2!$D:$D, Лист2!$A:$A, $A489, Лист2!$B:$B, $B489)</f>
        <v>12012</v>
      </c>
      <c r="G489" s="3">
        <f>SUMIFS(Лист2!$E:$E, Лист2!$A:$A, $A489, Лист2!$B:$B, $B489)</f>
        <v>11308</v>
      </c>
      <c r="H489">
        <f>IFERROR(Таблица1[[#This Row],[Товарооборот, руб]]/Таблица1[[#This Row],[Количество складов]],0)</f>
        <v>367687.44444444444</v>
      </c>
      <c r="I489">
        <f t="shared" si="7"/>
        <v>20</v>
      </c>
    </row>
    <row r="490" spans="1:9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>
        <f>SUMIFS(Лист2!$C:$C, Лист2!$A:$A, $A490, Лист2!$B:$B, $B490)</f>
        <v>54</v>
      </c>
      <c r="F490" s="3">
        <f>SUMIFS(Лист2!$D:$D, Лист2!$A:$A, $A490, Лист2!$B:$B, $B490)</f>
        <v>11194</v>
      </c>
      <c r="G490" s="3">
        <f>SUMIFS(Лист2!$E:$E, Лист2!$A:$A, $A490, Лист2!$B:$B, $B490)</f>
        <v>10554</v>
      </c>
      <c r="H490">
        <f>IFERROR(Таблица1[[#This Row],[Товарооборот, руб]]/Таблица1[[#This Row],[Количество складов]],0)</f>
        <v>345203.66666666669</v>
      </c>
      <c r="I490">
        <f t="shared" si="7"/>
        <v>20</v>
      </c>
    </row>
    <row r="491" spans="1:9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>
        <f>SUMIFS(Лист2!$C:$C, Лист2!$A:$A, $A491, Лист2!$B:$B, $B491)</f>
        <v>54</v>
      </c>
      <c r="F491" s="3">
        <f>SUMIFS(Лист2!$D:$D, Лист2!$A:$A, $A491, Лист2!$B:$B, $B491)</f>
        <v>12791</v>
      </c>
      <c r="G491" s="3">
        <f>SUMIFS(Лист2!$E:$E, Лист2!$A:$A, $A491, Лист2!$B:$B, $B491)</f>
        <v>11950</v>
      </c>
      <c r="H491">
        <f>IFERROR(Таблица1[[#This Row],[Товарооборот, руб]]/Таблица1[[#This Row],[Количество складов]],0)</f>
        <v>405468.41666666669</v>
      </c>
      <c r="I491">
        <f t="shared" si="7"/>
        <v>20</v>
      </c>
    </row>
    <row r="492" spans="1:9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>
        <f>SUMIFS(Лист2!$C:$C, Лист2!$A:$A, $A492, Лист2!$B:$B, $B492)</f>
        <v>54</v>
      </c>
      <c r="F492" s="3">
        <f>SUMIFS(Лист2!$D:$D, Лист2!$A:$A, $A492, Лист2!$B:$B, $B492)</f>
        <v>14031</v>
      </c>
      <c r="G492" s="3">
        <f>SUMIFS(Лист2!$E:$E, Лист2!$A:$A, $A492, Лист2!$B:$B, $B492)</f>
        <v>12943</v>
      </c>
      <c r="H492">
        <f>IFERROR(Таблица1[[#This Row],[Товарооборот, руб]]/Таблица1[[#This Row],[Количество складов]],0)</f>
        <v>415113.91666666669</v>
      </c>
      <c r="I492">
        <f t="shared" si="7"/>
        <v>22</v>
      </c>
    </row>
    <row r="493" spans="1:9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>
        <f>SUMIFS(Лист2!$C:$C, Лист2!$A:$A, $A493, Лист2!$B:$B, $B493)</f>
        <v>7</v>
      </c>
      <c r="F493" s="3">
        <f>SUMIFS(Лист2!$D:$D, Лист2!$A:$A, $A493, Лист2!$B:$B, $B493)</f>
        <v>409</v>
      </c>
      <c r="G493" s="3">
        <f>SUMIFS(Лист2!$E:$E, Лист2!$A:$A, $A493, Лист2!$B:$B, $B493)</f>
        <v>329</v>
      </c>
      <c r="H493">
        <f>IFERROR(Таблица1[[#This Row],[Товарооборот, руб]]/Таблица1[[#This Row],[Количество складов]],0)</f>
        <v>98240.571428571435</v>
      </c>
      <c r="I493">
        <f t="shared" si="7"/>
        <v>22</v>
      </c>
    </row>
    <row r="494" spans="1:9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>
        <f>SUMIFS(Лист2!$C:$C, Лист2!$A:$A, $A494, Лист2!$B:$B, $B494)</f>
        <v>18</v>
      </c>
      <c r="F494" s="3">
        <f>SUMIFS(Лист2!$D:$D, Лист2!$A:$A, $A494, Лист2!$B:$B, $B494)</f>
        <v>985</v>
      </c>
      <c r="G494" s="3">
        <f>SUMIFS(Лист2!$E:$E, Лист2!$A:$A, $A494, Лист2!$B:$B, $B494)</f>
        <v>861</v>
      </c>
      <c r="H494">
        <f>IFERROR(Таблица1[[#This Row],[Товарооборот, руб]]/Таблица1[[#This Row],[Количество складов]],0)</f>
        <v>77709.5</v>
      </c>
      <c r="I494">
        <f t="shared" si="7"/>
        <v>21</v>
      </c>
    </row>
    <row r="495" spans="1:9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>
        <f>SUMIFS(Лист2!$C:$C, Лист2!$A:$A, $A495, Лист2!$B:$B, $B495)</f>
        <v>9</v>
      </c>
      <c r="F495" s="3">
        <f>SUMIFS(Лист2!$D:$D, Лист2!$A:$A, $A495, Лист2!$B:$B, $B495)</f>
        <v>294</v>
      </c>
      <c r="G495" s="3">
        <f>SUMIFS(Лист2!$E:$E, Лист2!$A:$A, $A495, Лист2!$B:$B, $B495)</f>
        <v>224</v>
      </c>
      <c r="H495">
        <f>IFERROR(Таблица1[[#This Row],[Товарооборот, руб]]/Таблица1[[#This Row],[Количество складов]],0)</f>
        <v>43223.666666666664</v>
      </c>
      <c r="I495">
        <f t="shared" si="7"/>
        <v>22</v>
      </c>
    </row>
    <row r="496" spans="1:9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>
        <f>SUMIFS(Лист2!$C:$C, Лист2!$A:$A, $A496, Лист2!$B:$B, $B496)</f>
        <v>15</v>
      </c>
      <c r="F496" s="3">
        <f>SUMIFS(Лист2!$D:$D, Лист2!$A:$A, $A496, Лист2!$B:$B, $B496)</f>
        <v>654</v>
      </c>
      <c r="G496" s="3">
        <f>SUMIFS(Лист2!$E:$E, Лист2!$A:$A, $A496, Лист2!$B:$B, $B496)</f>
        <v>564</v>
      </c>
      <c r="H496">
        <f>IFERROR(Таблица1[[#This Row],[Товарооборот, руб]]/Таблица1[[#This Row],[Количество складов]],0)</f>
        <v>58690.400000000001</v>
      </c>
      <c r="I496">
        <f t="shared" si="7"/>
        <v>19</v>
      </c>
    </row>
    <row r="497" spans="1:9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>
        <f>SUMIFS(Лист2!$C:$C, Лист2!$A:$A, $A497, Лист2!$B:$B, $B497)</f>
        <v>16</v>
      </c>
      <c r="F497" s="3">
        <f>SUMIFS(Лист2!$D:$D, Лист2!$A:$A, $A497, Лист2!$B:$B, $B497)</f>
        <v>864</v>
      </c>
      <c r="G497" s="3">
        <f>SUMIFS(Лист2!$E:$E, Лист2!$A:$A, $A497, Лист2!$B:$B, $B497)</f>
        <v>765</v>
      </c>
      <c r="H497">
        <f>IFERROR(Таблица1[[#This Row],[Товарооборот, руб]]/Таблица1[[#This Row],[Количество складов]],0)</f>
        <v>76919.4375</v>
      </c>
      <c r="I497">
        <f t="shared" si="7"/>
        <v>20</v>
      </c>
    </row>
    <row r="498" spans="1:9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>
        <f>SUMIFS(Лист2!$C:$C, Лист2!$A:$A, $A498, Лист2!$B:$B, $B498)</f>
        <v>16</v>
      </c>
      <c r="F498" s="3">
        <f>SUMIFS(Лист2!$D:$D, Лист2!$A:$A, $A498, Лист2!$B:$B, $B498)</f>
        <v>834</v>
      </c>
      <c r="G498" s="3">
        <f>SUMIFS(Лист2!$E:$E, Лист2!$A:$A, $A498, Лист2!$B:$B, $B498)</f>
        <v>735</v>
      </c>
      <c r="H498">
        <f>IFERROR(Таблица1[[#This Row],[Товарооборот, руб]]/Таблица1[[#This Row],[Количество складов]],0)</f>
        <v>70729.78125</v>
      </c>
      <c r="I498">
        <f t="shared" si="7"/>
        <v>20</v>
      </c>
    </row>
    <row r="499" spans="1:9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>
        <f>SUMIFS(Лист2!$C:$C, Лист2!$A:$A, $A499, Лист2!$B:$B, $B499)</f>
        <v>16</v>
      </c>
      <c r="F499" s="3">
        <f>SUMIFS(Лист2!$D:$D, Лист2!$A:$A, $A499, Лист2!$B:$B, $B499)</f>
        <v>817</v>
      </c>
      <c r="G499" s="3">
        <f>SUMIFS(Лист2!$E:$E, Лист2!$A:$A, $A499, Лист2!$B:$B, $B499)</f>
        <v>718</v>
      </c>
      <c r="H499">
        <f>IFERROR(Таблица1[[#This Row],[Товарооборот, руб]]/Таблица1[[#This Row],[Количество складов]],0)</f>
        <v>68190</v>
      </c>
      <c r="I499">
        <f t="shared" si="7"/>
        <v>20</v>
      </c>
    </row>
    <row r="500" spans="1:9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>
        <f>SUMIFS(Лист2!$C:$C, Лист2!$A:$A, $A500, Лист2!$B:$B, $B500)</f>
        <v>18</v>
      </c>
      <c r="F500" s="3">
        <f>SUMIFS(Лист2!$D:$D, Лист2!$A:$A, $A500, Лист2!$B:$B, $B500)</f>
        <v>962</v>
      </c>
      <c r="G500" s="3">
        <f>SUMIFS(Лист2!$E:$E, Лист2!$A:$A, $A500, Лист2!$B:$B, $B500)</f>
        <v>859</v>
      </c>
      <c r="H500">
        <f>IFERROR(Таблица1[[#This Row],[Товарооборот, руб]]/Таблица1[[#This Row],[Количество складов]],0)</f>
        <v>75011.083333333328</v>
      </c>
      <c r="I500">
        <f t="shared" si="7"/>
        <v>22</v>
      </c>
    </row>
    <row r="501" spans="1:9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>
        <f>SUMIFS(Лист2!$C:$C, Лист2!$A:$A, $A501, Лист2!$B:$B, $B501)</f>
        <v>6</v>
      </c>
      <c r="F501" s="3">
        <f>SUMIFS(Лист2!$D:$D, Лист2!$A:$A, $A501, Лист2!$B:$B, $B501)</f>
        <v>237</v>
      </c>
      <c r="G501" s="3">
        <f>SUMIFS(Лист2!$E:$E, Лист2!$A:$A, $A501, Лист2!$B:$B, $B501)</f>
        <v>175</v>
      </c>
      <c r="H501">
        <f>IFERROR(Таблица1[[#This Row],[Товарооборот, руб]]/Таблица1[[#This Row],[Количество складов]],0)</f>
        <v>68482</v>
      </c>
      <c r="I501">
        <f t="shared" si="7"/>
        <v>22</v>
      </c>
    </row>
    <row r="502" spans="1:9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>
        <f>SUMIFS(Лист2!$C:$C, Лист2!$A:$A, $A502, Лист2!$B:$B, $B502)</f>
        <v>7</v>
      </c>
      <c r="F502" s="3">
        <f>SUMIFS(Лист2!$D:$D, Лист2!$A:$A, $A502, Лист2!$B:$B, $B502)</f>
        <v>491</v>
      </c>
      <c r="G502" s="3">
        <f>SUMIFS(Лист2!$E:$E, Лист2!$A:$A, $A502, Лист2!$B:$B, $B502)</f>
        <v>411</v>
      </c>
      <c r="H502">
        <f>IFERROR(Таблица1[[#This Row],[Товарооборот, руб]]/Таблица1[[#This Row],[Количество складов]],0)</f>
        <v>121548.64285714286</v>
      </c>
      <c r="I502">
        <f t="shared" si="7"/>
        <v>22</v>
      </c>
    </row>
    <row r="503" spans="1:9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>
        <f>SUMIFS(Лист2!$C:$C, Лист2!$A:$A, $A503, Лист2!$B:$B, $B503)</f>
        <v>7</v>
      </c>
      <c r="F503" s="3">
        <f>SUMIFS(Лист2!$D:$D, Лист2!$A:$A, $A503, Лист2!$B:$B, $B503)</f>
        <v>500</v>
      </c>
      <c r="G503" s="3">
        <f>SUMIFS(Лист2!$E:$E, Лист2!$A:$A, $A503, Лист2!$B:$B, $B503)</f>
        <v>418</v>
      </c>
      <c r="H503">
        <f>IFERROR(Таблица1[[#This Row],[Товарооборот, руб]]/Таблица1[[#This Row],[Количество складов]],0)</f>
        <v>114635.35714285714</v>
      </c>
      <c r="I503">
        <f t="shared" si="7"/>
        <v>22</v>
      </c>
    </row>
    <row r="504" spans="1:9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>
        <f>SUMIFS(Лист2!$C:$C, Лист2!$A:$A, $A504, Лист2!$B:$B, $B504)</f>
        <v>18</v>
      </c>
      <c r="F504" s="3">
        <f>SUMIFS(Лист2!$D:$D, Лист2!$A:$A, $A504, Лист2!$B:$B, $B504)</f>
        <v>1014</v>
      </c>
      <c r="G504" s="3">
        <f>SUMIFS(Лист2!$E:$E, Лист2!$A:$A, $A504, Лист2!$B:$B, $B504)</f>
        <v>893</v>
      </c>
      <c r="H504">
        <f>IFERROR(Таблица1[[#This Row],[Товарооборот, руб]]/Таблица1[[#This Row],[Количество складов]],0)</f>
        <v>79903.083333333328</v>
      </c>
      <c r="I504">
        <f t="shared" si="7"/>
        <v>22</v>
      </c>
    </row>
    <row r="505" spans="1:9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>
        <f>SUMIFS(Лист2!$C:$C, Лист2!$A:$A, $A505, Лист2!$B:$B, $B505)</f>
        <v>18</v>
      </c>
      <c r="F505" s="3">
        <f>SUMIFS(Лист2!$D:$D, Лист2!$A:$A, $A505, Лист2!$B:$B, $B505)</f>
        <v>923</v>
      </c>
      <c r="G505" s="3">
        <f>SUMIFS(Лист2!$E:$E, Лист2!$A:$A, $A505, Лист2!$B:$B, $B505)</f>
        <v>824</v>
      </c>
      <c r="H505">
        <f>IFERROR(Таблица1[[#This Row],[Товарооборот, руб]]/Таблица1[[#This Row],[Количество складов]],0)</f>
        <v>71845.5</v>
      </c>
      <c r="I505">
        <f t="shared" si="7"/>
        <v>22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K31" sqref="K31"/>
    </sheetView>
  </sheetViews>
  <sheetFormatPr defaultColWidth="14.44140625" defaultRowHeight="15" customHeight="1" x14ac:dyDescent="0.3"/>
  <cols>
    <col min="1" max="1" width="13.10937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117"/>
  <sheetViews>
    <sheetView tabSelected="1" zoomScale="70" zoomScaleNormal="70" workbookViewId="0">
      <selection activeCell="G15" sqref="G15"/>
    </sheetView>
  </sheetViews>
  <sheetFormatPr defaultRowHeight="14.4" x14ac:dyDescent="0.3"/>
  <cols>
    <col min="1" max="1" width="23.6640625" bestFit="1" customWidth="1"/>
    <col min="2" max="2" width="33" customWidth="1"/>
    <col min="3" max="3" width="36.88671875" customWidth="1"/>
    <col min="4" max="4" width="19.33203125" customWidth="1"/>
    <col min="5" max="5" width="17.88671875" customWidth="1"/>
    <col min="6" max="6" width="33" customWidth="1"/>
    <col min="7" max="7" width="36.88671875" customWidth="1"/>
    <col min="8" max="8" width="21.6640625" customWidth="1"/>
    <col min="9" max="9" width="36.88671875" customWidth="1"/>
    <col min="10" max="10" width="33" customWidth="1"/>
    <col min="11" max="11" width="36.88671875" customWidth="1"/>
    <col min="12" max="12" width="33" customWidth="1"/>
    <col min="13" max="13" width="36.88671875" customWidth="1"/>
    <col min="14" max="14" width="37.5546875" customWidth="1"/>
    <col min="15" max="15" width="41.5546875" customWidth="1"/>
    <col min="16" max="20" width="36.88671875" customWidth="1"/>
    <col min="21" max="21" width="36.88671875" bestFit="1" customWidth="1"/>
    <col min="22" max="22" width="36.88671875" customWidth="1"/>
    <col min="23" max="23" width="36.88671875" bestFit="1" customWidth="1"/>
    <col min="24" max="24" width="36.88671875" customWidth="1"/>
    <col min="25" max="25" width="36.88671875" bestFit="1" customWidth="1"/>
    <col min="26" max="26" width="36.88671875" customWidth="1"/>
    <col min="27" max="27" width="45.77734375" bestFit="1" customWidth="1"/>
    <col min="28" max="28" width="50" customWidth="1"/>
    <col min="29" max="29" width="36.88671875" bestFit="1" customWidth="1"/>
    <col min="30" max="30" width="36.88671875" customWidth="1"/>
    <col min="31" max="31" width="36.88671875" bestFit="1" customWidth="1"/>
    <col min="32" max="32" width="36.88671875" customWidth="1"/>
    <col min="33" max="33" width="36.88671875" bestFit="1" customWidth="1"/>
    <col min="34" max="34" width="36.88671875" customWidth="1"/>
    <col min="35" max="35" width="36.88671875" bestFit="1" customWidth="1"/>
    <col min="36" max="39" width="36.88671875" customWidth="1"/>
    <col min="40" max="40" width="36.88671875" bestFit="1" customWidth="1"/>
    <col min="41" max="41" width="39.6640625" bestFit="1" customWidth="1"/>
    <col min="42" max="42" width="43.77734375" bestFit="1" customWidth="1"/>
    <col min="43" max="54" width="36.88671875" bestFit="1" customWidth="1"/>
    <col min="55" max="55" width="42.77734375" bestFit="1" customWidth="1"/>
    <col min="56" max="56" width="46.88671875" bestFit="1" customWidth="1"/>
    <col min="57" max="59" width="36.88671875" bestFit="1" customWidth="1"/>
    <col min="60" max="60" width="36.88671875" customWidth="1"/>
    <col min="61" max="63" width="36.88671875" bestFit="1" customWidth="1"/>
    <col min="64" max="68" width="36.88671875" customWidth="1"/>
    <col min="69" max="69" width="43.33203125" customWidth="1"/>
    <col min="70" max="70" width="47.44140625" bestFit="1" customWidth="1"/>
    <col min="71" max="82" width="36.88671875" bestFit="1" customWidth="1"/>
    <col min="83" max="83" width="46.88671875" bestFit="1" customWidth="1"/>
    <col min="84" max="84" width="50.77734375" bestFit="1" customWidth="1"/>
    <col min="85" max="89" width="36.88671875" bestFit="1" customWidth="1"/>
    <col min="90" max="90" width="36.88671875" customWidth="1"/>
    <col min="91" max="96" width="36.88671875" bestFit="1" customWidth="1"/>
    <col min="97" max="97" width="46.109375" bestFit="1" customWidth="1"/>
    <col min="98" max="98" width="50.109375" bestFit="1" customWidth="1"/>
    <col min="99" max="101" width="36.88671875" bestFit="1" customWidth="1"/>
    <col min="102" max="103" width="36.88671875" customWidth="1"/>
    <col min="104" max="107" width="36.88671875" bestFit="1" customWidth="1"/>
    <col min="108" max="110" width="36.88671875" customWidth="1"/>
    <col min="111" max="111" width="50.44140625" bestFit="1" customWidth="1"/>
    <col min="112" max="112" width="54.5546875" bestFit="1" customWidth="1"/>
    <col min="113" max="119" width="36.88671875" bestFit="1" customWidth="1"/>
    <col min="120" max="120" width="36.88671875" customWidth="1"/>
    <col min="121" max="124" width="36.88671875" bestFit="1" customWidth="1"/>
    <col min="125" max="125" width="45.21875" bestFit="1" customWidth="1"/>
    <col min="126" max="126" width="49.33203125" bestFit="1" customWidth="1"/>
    <col min="127" max="138" width="36.88671875" bestFit="1" customWidth="1"/>
    <col min="139" max="139" width="39.44140625" bestFit="1" customWidth="1"/>
    <col min="140" max="140" width="43.5546875" bestFit="1" customWidth="1"/>
    <col min="141" max="152" width="36.88671875" bestFit="1" customWidth="1"/>
    <col min="153" max="153" width="47.77734375" bestFit="1" customWidth="1"/>
    <col min="154" max="154" width="51.88671875" bestFit="1" customWidth="1"/>
    <col min="155" max="157" width="36.88671875" bestFit="1" customWidth="1"/>
    <col min="158" max="158" width="36.88671875" customWidth="1"/>
    <col min="159" max="159" width="40.109375" bestFit="1" customWidth="1"/>
    <col min="160" max="160" width="44.21875" bestFit="1" customWidth="1"/>
    <col min="161" max="172" width="36.88671875" bestFit="1" customWidth="1"/>
    <col min="173" max="173" width="54.88671875" bestFit="1" customWidth="1"/>
    <col min="174" max="174" width="59" bestFit="1" customWidth="1"/>
    <col min="175" max="186" width="36.88671875" bestFit="1" customWidth="1"/>
    <col min="187" max="187" width="52.21875" bestFit="1" customWidth="1"/>
    <col min="188" max="188" width="56.33203125" bestFit="1" customWidth="1"/>
    <col min="189" max="195" width="36.88671875" bestFit="1" customWidth="1"/>
    <col min="196" max="198" width="36.88671875" customWidth="1"/>
    <col min="199" max="200" width="36.88671875" bestFit="1" customWidth="1"/>
    <col min="201" max="201" width="41.33203125" bestFit="1" customWidth="1"/>
    <col min="202" max="202" width="45.5546875" bestFit="1" customWidth="1"/>
    <col min="203" max="206" width="36.88671875" bestFit="1" customWidth="1"/>
    <col min="207" max="207" width="38.88671875" bestFit="1" customWidth="1"/>
    <col min="208" max="208" width="43" bestFit="1" customWidth="1"/>
    <col min="209" max="212" width="36.88671875" bestFit="1" customWidth="1"/>
    <col min="213" max="213" width="40.77734375" bestFit="1" customWidth="1"/>
    <col min="214" max="214" width="44.88671875" bestFit="1" customWidth="1"/>
    <col min="215" max="219" width="36.88671875" bestFit="1" customWidth="1"/>
    <col min="220" max="220" width="41.109375" bestFit="1" customWidth="1"/>
    <col min="221" max="221" width="37.5546875" bestFit="1" customWidth="1"/>
    <col min="222" max="222" width="41.5546875" bestFit="1" customWidth="1"/>
  </cols>
  <sheetData>
    <row r="6" spans="1:9" x14ac:dyDescent="0.3">
      <c r="A6" s="14" t="s">
        <v>27</v>
      </c>
      <c r="B6" t="s">
        <v>29</v>
      </c>
      <c r="C6" t="s">
        <v>30</v>
      </c>
    </row>
    <row r="7" spans="1:9" x14ac:dyDescent="0.3">
      <c r="A7" s="15" t="s">
        <v>16</v>
      </c>
      <c r="B7" s="13">
        <v>218000127</v>
      </c>
      <c r="C7" s="13">
        <v>6029485.6216216218</v>
      </c>
    </row>
    <row r="8" spans="1:9" x14ac:dyDescent="0.3">
      <c r="A8" s="16">
        <v>18</v>
      </c>
      <c r="B8" s="13">
        <v>32155975.5</v>
      </c>
      <c r="C8" s="13">
        <v>893221.54166666663</v>
      </c>
    </row>
    <row r="9" spans="1:9" x14ac:dyDescent="0.3">
      <c r="A9" s="16">
        <v>19</v>
      </c>
      <c r="B9" s="13">
        <v>38283948</v>
      </c>
      <c r="C9" s="13">
        <v>1063443</v>
      </c>
    </row>
    <row r="10" spans="1:9" x14ac:dyDescent="0.3">
      <c r="A10" s="16">
        <v>20</v>
      </c>
      <c r="B10" s="13">
        <v>44295501</v>
      </c>
      <c r="C10" s="13">
        <v>1230430.5833333333</v>
      </c>
    </row>
    <row r="11" spans="1:9" x14ac:dyDescent="0.3">
      <c r="A11" s="16">
        <v>21</v>
      </c>
      <c r="B11" s="13">
        <v>43412614.5</v>
      </c>
      <c r="C11" s="13">
        <v>1205905.9583333335</v>
      </c>
      <c r="H11" s="14" t="s">
        <v>8</v>
      </c>
      <c r="I11" s="15">
        <v>23</v>
      </c>
    </row>
    <row r="12" spans="1:9" x14ac:dyDescent="0.3">
      <c r="A12" s="16">
        <v>22</v>
      </c>
      <c r="B12" s="13">
        <v>44252853</v>
      </c>
      <c r="C12" s="13">
        <v>1214883.5923423425</v>
      </c>
    </row>
    <row r="13" spans="1:9" x14ac:dyDescent="0.3">
      <c r="A13" s="16">
        <v>23</v>
      </c>
      <c r="B13" s="13">
        <v>15599235</v>
      </c>
      <c r="C13" s="13">
        <v>421600.94594594592</v>
      </c>
      <c r="E13" s="14" t="s">
        <v>27</v>
      </c>
      <c r="F13" t="s">
        <v>29</v>
      </c>
      <c r="H13" s="14" t="s">
        <v>27</v>
      </c>
      <c r="I13" t="s">
        <v>30</v>
      </c>
    </row>
    <row r="14" spans="1:9" x14ac:dyDescent="0.3">
      <c r="A14" s="15" t="s">
        <v>11</v>
      </c>
      <c r="B14" s="13">
        <v>243409003.5</v>
      </c>
      <c r="C14" s="13">
        <v>7851903.3387096766</v>
      </c>
      <c r="E14" s="15" t="s">
        <v>16</v>
      </c>
      <c r="F14" s="17">
        <v>4.3930742911644949E-2</v>
      </c>
      <c r="H14" s="15" t="s">
        <v>16</v>
      </c>
      <c r="I14" s="17">
        <v>6.551447288169765E-2</v>
      </c>
    </row>
    <row r="15" spans="1:9" x14ac:dyDescent="0.3">
      <c r="A15" s="16">
        <v>18</v>
      </c>
      <c r="B15" s="13">
        <v>36903144</v>
      </c>
      <c r="C15" s="13">
        <v>1190423.9999999998</v>
      </c>
      <c r="E15" s="15" t="s">
        <v>11</v>
      </c>
      <c r="F15" s="17">
        <v>4.9051064796573195E-2</v>
      </c>
      <c r="H15" s="15" t="s">
        <v>11</v>
      </c>
      <c r="I15" s="17">
        <v>8.3599008759795715E-2</v>
      </c>
    </row>
    <row r="16" spans="1:9" x14ac:dyDescent="0.3">
      <c r="A16" s="16">
        <v>19</v>
      </c>
      <c r="B16" s="13">
        <v>44942215.5</v>
      </c>
      <c r="C16" s="13">
        <v>1449748.8870967741</v>
      </c>
      <c r="E16" s="15" t="s">
        <v>17</v>
      </c>
      <c r="F16" s="17">
        <v>2.4299497824621857E-2</v>
      </c>
      <c r="H16" s="15" t="s">
        <v>17</v>
      </c>
      <c r="I16" s="17">
        <v>5.8463202132407042E-2</v>
      </c>
    </row>
    <row r="17" spans="1:9" x14ac:dyDescent="0.3">
      <c r="A17" s="16">
        <v>20</v>
      </c>
      <c r="B17" s="13">
        <v>46680258</v>
      </c>
      <c r="C17" s="13">
        <v>1505814.7741935486</v>
      </c>
      <c r="E17" s="15" t="s">
        <v>10</v>
      </c>
      <c r="F17" s="17">
        <v>2.0488951132439048E-2</v>
      </c>
      <c r="H17" s="15" t="s">
        <v>10</v>
      </c>
      <c r="I17" s="17">
        <v>5.6177104263525374E-2</v>
      </c>
    </row>
    <row r="18" spans="1:9" x14ac:dyDescent="0.3">
      <c r="A18" s="16">
        <v>21</v>
      </c>
      <c r="B18" s="13">
        <v>49429707</v>
      </c>
      <c r="C18" s="13">
        <v>1594506.6774193547</v>
      </c>
      <c r="E18" s="15" t="s">
        <v>20</v>
      </c>
      <c r="F18" s="17">
        <v>1.7302774294285901E-2</v>
      </c>
      <c r="H18" s="15" t="s">
        <v>20</v>
      </c>
      <c r="I18" s="17">
        <v>4.4027891316009107E-2</v>
      </c>
    </row>
    <row r="19" spans="1:9" x14ac:dyDescent="0.3">
      <c r="A19" s="16">
        <v>22</v>
      </c>
      <c r="B19" s="13">
        <v>48776325</v>
      </c>
      <c r="C19" s="13">
        <v>1573429.8387096773</v>
      </c>
      <c r="E19" s="15" t="s">
        <v>22</v>
      </c>
      <c r="F19" s="17">
        <v>0.1487446586821162</v>
      </c>
      <c r="H19" s="18" t="s">
        <v>22</v>
      </c>
      <c r="I19" s="19">
        <v>0.1291191079064905</v>
      </c>
    </row>
    <row r="20" spans="1:9" x14ac:dyDescent="0.3">
      <c r="A20" s="16">
        <v>23</v>
      </c>
      <c r="B20" s="13">
        <v>16677354</v>
      </c>
      <c r="C20" s="13">
        <v>537979.16129032266</v>
      </c>
      <c r="E20" s="22" t="s">
        <v>21</v>
      </c>
      <c r="F20" s="23">
        <v>0.15600381182365852</v>
      </c>
      <c r="H20" s="20" t="s">
        <v>21</v>
      </c>
      <c r="I20" s="21">
        <v>0.12145150895488585</v>
      </c>
    </row>
    <row r="21" spans="1:9" x14ac:dyDescent="0.3">
      <c r="A21" s="15" t="s">
        <v>17</v>
      </c>
      <c r="B21" s="13">
        <v>120582837</v>
      </c>
      <c r="C21" s="13">
        <v>5758962.3886690531</v>
      </c>
      <c r="E21" s="15" t="s">
        <v>13</v>
      </c>
      <c r="F21" s="17">
        <v>1.9263478180160522E-2</v>
      </c>
      <c r="H21" s="15" t="s">
        <v>13</v>
      </c>
      <c r="I21" s="17">
        <v>5.1638881933729154E-2</v>
      </c>
    </row>
    <row r="22" spans="1:9" x14ac:dyDescent="0.3">
      <c r="A22" s="16">
        <v>18</v>
      </c>
      <c r="B22" s="13">
        <v>15455601</v>
      </c>
      <c r="C22" s="13">
        <v>787230.56447368418</v>
      </c>
      <c r="E22" s="15" t="s">
        <v>23</v>
      </c>
      <c r="F22" s="17">
        <v>8.2691776643069263E-3</v>
      </c>
      <c r="H22" s="15" t="s">
        <v>23</v>
      </c>
      <c r="I22" s="17">
        <v>2.7596032096176348E-2</v>
      </c>
    </row>
    <row r="23" spans="1:9" x14ac:dyDescent="0.3">
      <c r="A23" s="16">
        <v>19</v>
      </c>
      <c r="B23" s="13">
        <v>19792776</v>
      </c>
      <c r="C23" s="13">
        <v>967697.14999999991</v>
      </c>
      <c r="E23" s="15" t="s">
        <v>18</v>
      </c>
      <c r="F23" s="17">
        <v>9.8346447456277158E-3</v>
      </c>
      <c r="H23" s="15" t="s">
        <v>18</v>
      </c>
      <c r="I23" s="17">
        <v>3.701471203372083E-2</v>
      </c>
    </row>
    <row r="24" spans="1:9" x14ac:dyDescent="0.3">
      <c r="A24" s="16">
        <v>20</v>
      </c>
      <c r="B24" s="13">
        <v>23301546</v>
      </c>
      <c r="C24" s="13">
        <v>1109597.4285714286</v>
      </c>
      <c r="E24" s="15" t="s">
        <v>19</v>
      </c>
      <c r="F24" s="17">
        <v>7.016128111058147E-3</v>
      </c>
      <c r="H24" s="15" t="s">
        <v>19</v>
      </c>
      <c r="I24" s="17">
        <v>2.8610848900567934E-2</v>
      </c>
    </row>
    <row r="25" spans="1:9" x14ac:dyDescent="0.3">
      <c r="A25" s="16">
        <v>21</v>
      </c>
      <c r="B25" s="13">
        <v>26901111</v>
      </c>
      <c r="C25" s="13">
        <v>1281005.2857142857</v>
      </c>
      <c r="E25" s="15" t="s">
        <v>9</v>
      </c>
      <c r="F25" s="17">
        <v>6.735905954786441E-4</v>
      </c>
      <c r="H25" s="15" t="s">
        <v>9</v>
      </c>
      <c r="I25" s="17">
        <v>1.4618194752534531E-2</v>
      </c>
    </row>
    <row r="26" spans="1:9" x14ac:dyDescent="0.3">
      <c r="A26" s="16">
        <v>22</v>
      </c>
      <c r="B26" s="13">
        <v>26681208</v>
      </c>
      <c r="C26" s="13">
        <v>1237207.5893562958</v>
      </c>
      <c r="E26" s="18" t="s">
        <v>15</v>
      </c>
      <c r="F26" s="19">
        <v>0.27823940999755076</v>
      </c>
      <c r="H26" s="22" t="s">
        <v>15</v>
      </c>
      <c r="I26" s="23">
        <v>0.10746167310593695</v>
      </c>
    </row>
    <row r="27" spans="1:9" x14ac:dyDescent="0.3">
      <c r="A27" s="16">
        <v>23</v>
      </c>
      <c r="B27" s="13">
        <v>8450595</v>
      </c>
      <c r="C27" s="13">
        <v>376224.37055335968</v>
      </c>
      <c r="E27" s="20" t="s">
        <v>14</v>
      </c>
      <c r="F27" s="21">
        <v>0.20869355411640439</v>
      </c>
      <c r="H27" s="15" t="s">
        <v>14</v>
      </c>
      <c r="I27" s="17">
        <v>7.8362512108937646E-2</v>
      </c>
    </row>
    <row r="28" spans="1:9" x14ac:dyDescent="0.3">
      <c r="A28" s="15" t="s">
        <v>10</v>
      </c>
      <c r="B28" s="13">
        <v>101673535.5</v>
      </c>
      <c r="C28" s="13">
        <v>5019070.5297619049</v>
      </c>
      <c r="E28" s="15" t="s">
        <v>12</v>
      </c>
      <c r="F28" s="17">
        <v>6.6918903987886027E-3</v>
      </c>
      <c r="H28" s="15" t="s">
        <v>12</v>
      </c>
      <c r="I28" s="17">
        <v>3.5833943184657539E-2</v>
      </c>
    </row>
    <row r="29" spans="1:9" x14ac:dyDescent="0.3">
      <c r="A29" s="16">
        <v>18</v>
      </c>
      <c r="B29" s="13">
        <v>13255828.5</v>
      </c>
      <c r="C29" s="13">
        <v>715018</v>
      </c>
      <c r="E29" s="15" t="s">
        <v>25</v>
      </c>
      <c r="F29" s="17">
        <v>1.779206142441779E-4</v>
      </c>
      <c r="H29" s="15" t="s">
        <v>25</v>
      </c>
      <c r="I29" s="17">
        <v>8.5275845865627458E-3</v>
      </c>
    </row>
    <row r="30" spans="1:9" x14ac:dyDescent="0.3">
      <c r="A30" s="16">
        <v>19</v>
      </c>
      <c r="B30" s="13">
        <v>18588316.5</v>
      </c>
      <c r="C30" s="13">
        <v>926390.76190476189</v>
      </c>
      <c r="E30" s="15" t="s">
        <v>24</v>
      </c>
      <c r="F30" s="17">
        <v>1.1414240187458753E-3</v>
      </c>
      <c r="H30" s="15" t="s">
        <v>24</v>
      </c>
      <c r="I30" s="17">
        <v>3.9840910529572823E-2</v>
      </c>
    </row>
    <row r="31" spans="1:9" x14ac:dyDescent="0.3">
      <c r="A31" s="16">
        <v>20</v>
      </c>
      <c r="B31" s="13">
        <v>19937352</v>
      </c>
      <c r="C31" s="13">
        <v>949397.71428571432</v>
      </c>
      <c r="E31" s="15" t="s">
        <v>26</v>
      </c>
      <c r="F31" s="17">
        <v>1.7728009229464408E-4</v>
      </c>
      <c r="H31" s="15" t="s">
        <v>26</v>
      </c>
      <c r="I31" s="17">
        <v>1.2142410552792119E-2</v>
      </c>
    </row>
    <row r="32" spans="1:9" x14ac:dyDescent="0.3">
      <c r="A32" s="16">
        <v>21</v>
      </c>
      <c r="B32" s="13">
        <v>20990829</v>
      </c>
      <c r="C32" s="13">
        <v>1007126.5714285714</v>
      </c>
      <c r="E32" s="15" t="s">
        <v>28</v>
      </c>
      <c r="F32" s="17">
        <v>1</v>
      </c>
      <c r="H32" s="15" t="s">
        <v>28</v>
      </c>
      <c r="I32" s="17">
        <v>1</v>
      </c>
    </row>
    <row r="33" spans="1:7" x14ac:dyDescent="0.3">
      <c r="A33" s="16">
        <v>22</v>
      </c>
      <c r="B33" s="13">
        <v>21505530</v>
      </c>
      <c r="C33" s="13">
        <v>1059624.6857142858</v>
      </c>
    </row>
    <row r="34" spans="1:7" x14ac:dyDescent="0.3">
      <c r="A34" s="16">
        <v>23</v>
      </c>
      <c r="B34" s="13">
        <v>7395679.5</v>
      </c>
      <c r="C34" s="13">
        <v>361512.79642857146</v>
      </c>
    </row>
    <row r="35" spans="1:7" x14ac:dyDescent="0.3">
      <c r="A35" s="15" t="s">
        <v>20</v>
      </c>
      <c r="B35" s="13">
        <v>85862581.5</v>
      </c>
      <c r="C35" s="13">
        <v>4464328.5484335842</v>
      </c>
    </row>
    <row r="36" spans="1:7" x14ac:dyDescent="0.3">
      <c r="A36" s="16">
        <v>18</v>
      </c>
      <c r="B36" s="13">
        <v>12522244.5</v>
      </c>
      <c r="C36" s="13">
        <v>672626.86403508775</v>
      </c>
    </row>
    <row r="37" spans="1:7" x14ac:dyDescent="0.3">
      <c r="A37" s="16">
        <v>19</v>
      </c>
      <c r="B37" s="13">
        <v>14837754</v>
      </c>
      <c r="C37" s="13">
        <v>780934.42105263157</v>
      </c>
      <c r="E37" s="14" t="s">
        <v>27</v>
      </c>
      <c r="F37" t="s">
        <v>29</v>
      </c>
      <c r="G37" t="s">
        <v>30</v>
      </c>
    </row>
    <row r="38" spans="1:7" x14ac:dyDescent="0.3">
      <c r="A38" s="16">
        <v>20</v>
      </c>
      <c r="B38" s="13">
        <v>16686337.5</v>
      </c>
      <c r="C38" s="13">
        <v>878228.28947368427</v>
      </c>
      <c r="E38" s="15">
        <v>18</v>
      </c>
      <c r="F38" s="13">
        <v>718517823</v>
      </c>
      <c r="G38" s="13">
        <v>12905075.272985894</v>
      </c>
    </row>
    <row r="39" spans="1:7" x14ac:dyDescent="0.3">
      <c r="A39" s="16">
        <v>21</v>
      </c>
      <c r="B39" s="13">
        <v>17578258.5</v>
      </c>
      <c r="C39" s="13">
        <v>918558.86052631575</v>
      </c>
      <c r="E39" s="15">
        <v>19</v>
      </c>
      <c r="F39" s="13">
        <v>938237891.47455001</v>
      </c>
      <c r="G39" s="13">
        <v>16919926.769184466</v>
      </c>
    </row>
    <row r="40" spans="1:7" x14ac:dyDescent="0.3">
      <c r="A40" s="16">
        <v>22</v>
      </c>
      <c r="B40" s="13">
        <v>18438328.5</v>
      </c>
      <c r="C40" s="13">
        <v>930650.34191729338</v>
      </c>
      <c r="E40" s="15">
        <v>20</v>
      </c>
      <c r="F40" s="13">
        <v>960420760.75365007</v>
      </c>
      <c r="G40" s="13">
        <v>17689483.664534103</v>
      </c>
    </row>
    <row r="41" spans="1:7" x14ac:dyDescent="0.3">
      <c r="A41" s="16">
        <v>23</v>
      </c>
      <c r="B41" s="13">
        <v>5799658.5</v>
      </c>
      <c r="C41" s="13">
        <v>283329.77142857143</v>
      </c>
      <c r="E41" s="15">
        <v>21</v>
      </c>
      <c r="F41" s="13">
        <v>980747673.68744993</v>
      </c>
      <c r="G41" s="13">
        <v>18470455.604573261</v>
      </c>
    </row>
    <row r="42" spans="1:7" x14ac:dyDescent="0.3">
      <c r="A42" s="15" t="s">
        <v>22</v>
      </c>
      <c r="B42" s="13">
        <v>738124428</v>
      </c>
      <c r="C42" s="13">
        <v>13668970.888888888</v>
      </c>
      <c r="E42" s="15">
        <v>22</v>
      </c>
      <c r="F42" s="13">
        <v>1045414934.64675</v>
      </c>
      <c r="G42" s="13">
        <v>19942935.28656568</v>
      </c>
    </row>
    <row r="43" spans="1:7" x14ac:dyDescent="0.3">
      <c r="A43" s="16">
        <v>18</v>
      </c>
      <c r="B43" s="13">
        <v>109365478.5</v>
      </c>
      <c r="C43" s="13">
        <v>2025286.638888889</v>
      </c>
      <c r="E43" s="15">
        <v>23</v>
      </c>
      <c r="F43" s="13">
        <v>319020133.5</v>
      </c>
      <c r="G43" s="13">
        <v>6435233.7338842517</v>
      </c>
    </row>
    <row r="44" spans="1:7" x14ac:dyDescent="0.3">
      <c r="A44" s="16">
        <v>19</v>
      </c>
      <c r="B44" s="13">
        <v>148431913.5</v>
      </c>
      <c r="C44" s="13">
        <v>2748739.138888889</v>
      </c>
      <c r="E44" s="15" t="s">
        <v>28</v>
      </c>
      <c r="F44" s="13">
        <v>4962359217.0623999</v>
      </c>
      <c r="G44" s="13">
        <v>92363110.331727654</v>
      </c>
    </row>
    <row r="45" spans="1:7" x14ac:dyDescent="0.3">
      <c r="A45" s="16">
        <v>20</v>
      </c>
      <c r="B45" s="13">
        <v>139422975</v>
      </c>
      <c r="C45" s="13">
        <v>2581906.9444444445</v>
      </c>
    </row>
    <row r="46" spans="1:7" x14ac:dyDescent="0.3">
      <c r="A46" s="16">
        <v>21</v>
      </c>
      <c r="B46" s="13">
        <v>144468037.5</v>
      </c>
      <c r="C46" s="13">
        <v>2675334.0277777775</v>
      </c>
    </row>
    <row r="47" spans="1:7" x14ac:dyDescent="0.3">
      <c r="A47" s="16">
        <v>22</v>
      </c>
      <c r="B47" s="13">
        <v>151566795</v>
      </c>
      <c r="C47" s="13">
        <v>2806792.5</v>
      </c>
    </row>
    <row r="48" spans="1:7" x14ac:dyDescent="0.3">
      <c r="A48" s="16">
        <v>23</v>
      </c>
      <c r="B48" s="13">
        <v>44869228.5</v>
      </c>
      <c r="C48" s="13">
        <v>830911.63888888888</v>
      </c>
    </row>
    <row r="49" spans="1:3" x14ac:dyDescent="0.3">
      <c r="A49" s="15" t="s">
        <v>21</v>
      </c>
      <c r="B49" s="13">
        <v>774146953.5</v>
      </c>
      <c r="C49" s="13">
        <v>13030492.68220339</v>
      </c>
    </row>
    <row r="50" spans="1:3" x14ac:dyDescent="0.3">
      <c r="A50" s="16">
        <v>18</v>
      </c>
      <c r="B50" s="13">
        <v>114965800.5</v>
      </c>
      <c r="C50" s="13">
        <v>1948572.8898305085</v>
      </c>
    </row>
    <row r="51" spans="1:3" x14ac:dyDescent="0.3">
      <c r="A51" s="16">
        <v>19</v>
      </c>
      <c r="B51" s="13">
        <v>155331292.5</v>
      </c>
      <c r="C51" s="13">
        <v>2627671.8661016948</v>
      </c>
    </row>
    <row r="52" spans="1:3" x14ac:dyDescent="0.3">
      <c r="A52" s="16">
        <v>20</v>
      </c>
      <c r="B52" s="13">
        <v>146201581.5</v>
      </c>
      <c r="C52" s="13">
        <v>2449153.2046610173</v>
      </c>
    </row>
    <row r="53" spans="1:3" x14ac:dyDescent="0.3">
      <c r="A53" s="16">
        <v>21</v>
      </c>
      <c r="B53" s="13">
        <v>152357724</v>
      </c>
      <c r="C53" s="13">
        <v>2545109.7343220338</v>
      </c>
    </row>
    <row r="54" spans="1:3" x14ac:dyDescent="0.3">
      <c r="A54" s="16">
        <v>22</v>
      </c>
      <c r="B54" s="13">
        <v>159177993</v>
      </c>
      <c r="C54" s="13">
        <v>2678416.1398305087</v>
      </c>
    </row>
    <row r="55" spans="1:3" x14ac:dyDescent="0.3">
      <c r="A55" s="16">
        <v>23</v>
      </c>
      <c r="B55" s="13">
        <v>46112562</v>
      </c>
      <c r="C55" s="13">
        <v>781568.84745762707</v>
      </c>
    </row>
    <row r="56" spans="1:3" x14ac:dyDescent="0.3">
      <c r="A56" s="15" t="s">
        <v>13</v>
      </c>
      <c r="B56" s="13">
        <v>95592298.5</v>
      </c>
      <c r="C56" s="13">
        <v>4961061.7369711045</v>
      </c>
    </row>
    <row r="57" spans="1:3" x14ac:dyDescent="0.3">
      <c r="A57" s="16">
        <v>18</v>
      </c>
      <c r="B57" s="13">
        <v>11627394</v>
      </c>
      <c r="C57" s="13">
        <v>632209.66460268316</v>
      </c>
    </row>
    <row r="58" spans="1:3" x14ac:dyDescent="0.3">
      <c r="A58" s="16">
        <v>19</v>
      </c>
      <c r="B58" s="13">
        <v>16816065</v>
      </c>
      <c r="C58" s="13">
        <v>885056.05263157887</v>
      </c>
    </row>
    <row r="59" spans="1:3" x14ac:dyDescent="0.3">
      <c r="A59" s="16">
        <v>20</v>
      </c>
      <c r="B59" s="13">
        <v>18486981</v>
      </c>
      <c r="C59" s="13">
        <v>972999</v>
      </c>
    </row>
    <row r="60" spans="1:3" x14ac:dyDescent="0.3">
      <c r="A60" s="16">
        <v>21</v>
      </c>
      <c r="B60" s="13">
        <v>20607463.5</v>
      </c>
      <c r="C60" s="13">
        <v>1068077.2697368423</v>
      </c>
    </row>
    <row r="61" spans="1:3" x14ac:dyDescent="0.3">
      <c r="A61" s="16">
        <v>22</v>
      </c>
      <c r="B61" s="13">
        <v>21408229.5</v>
      </c>
      <c r="C61" s="13">
        <v>1070411.4749999999</v>
      </c>
    </row>
    <row r="62" spans="1:3" x14ac:dyDescent="0.3">
      <c r="A62" s="16">
        <v>23</v>
      </c>
      <c r="B62" s="13">
        <v>6646165.5</v>
      </c>
      <c r="C62" s="13">
        <v>332308.27500000002</v>
      </c>
    </row>
    <row r="63" spans="1:3" x14ac:dyDescent="0.3">
      <c r="A63" s="15" t="s">
        <v>23</v>
      </c>
      <c r="B63" s="13">
        <v>41034630</v>
      </c>
      <c r="C63" s="13">
        <v>2507913.4982843134</v>
      </c>
    </row>
    <row r="64" spans="1:3" x14ac:dyDescent="0.3">
      <c r="A64" s="16">
        <v>18</v>
      </c>
      <c r="B64" s="13">
        <v>5019358.5</v>
      </c>
      <c r="C64" s="13">
        <v>334623.90000000002</v>
      </c>
    </row>
    <row r="65" spans="1:3" x14ac:dyDescent="0.3">
      <c r="A65" s="16">
        <v>19</v>
      </c>
      <c r="B65" s="13">
        <v>6688236</v>
      </c>
      <c r="C65" s="13">
        <v>445882.4</v>
      </c>
    </row>
    <row r="66" spans="1:3" x14ac:dyDescent="0.3">
      <c r="A66" s="16">
        <v>20</v>
      </c>
      <c r="B66" s="13">
        <v>7890754.5</v>
      </c>
      <c r="C66" s="13">
        <v>511661.01874999999</v>
      </c>
    </row>
    <row r="67" spans="1:3" x14ac:dyDescent="0.3">
      <c r="A67" s="16">
        <v>21</v>
      </c>
      <c r="B67" s="13">
        <v>8716489.5</v>
      </c>
      <c r="C67" s="13">
        <v>509091.09620098036</v>
      </c>
    </row>
    <row r="68" spans="1:3" x14ac:dyDescent="0.3">
      <c r="A68" s="16">
        <v>22</v>
      </c>
      <c r="B68" s="13">
        <v>9523227</v>
      </c>
      <c r="C68" s="13">
        <v>529068.16666666663</v>
      </c>
    </row>
    <row r="69" spans="1:3" x14ac:dyDescent="0.3">
      <c r="A69" s="16">
        <v>23</v>
      </c>
      <c r="B69" s="13">
        <v>3196564.5</v>
      </c>
      <c r="C69" s="13">
        <v>177586.91666666666</v>
      </c>
    </row>
    <row r="70" spans="1:3" x14ac:dyDescent="0.3">
      <c r="A70" s="15" t="s">
        <v>18</v>
      </c>
      <c r="B70" s="13">
        <v>48803040</v>
      </c>
      <c r="C70" s="13">
        <v>3079945.6941176471</v>
      </c>
    </row>
    <row r="71" spans="1:3" x14ac:dyDescent="0.3">
      <c r="A71" s="16">
        <v>18</v>
      </c>
      <c r="B71" s="13">
        <v>5873001</v>
      </c>
      <c r="C71" s="13">
        <v>391533.4</v>
      </c>
    </row>
    <row r="72" spans="1:3" x14ac:dyDescent="0.3">
      <c r="A72" s="16">
        <v>19</v>
      </c>
      <c r="B72" s="13">
        <v>8268148.5</v>
      </c>
      <c r="C72" s="13">
        <v>551209.89999999991</v>
      </c>
    </row>
    <row r="73" spans="1:3" x14ac:dyDescent="0.3">
      <c r="A73" s="16">
        <v>20</v>
      </c>
      <c r="B73" s="13">
        <v>8901943.5</v>
      </c>
      <c r="C73" s="13">
        <v>588270.55625000002</v>
      </c>
    </row>
    <row r="74" spans="1:3" x14ac:dyDescent="0.3">
      <c r="A74" s="16">
        <v>21</v>
      </c>
      <c r="B74" s="13">
        <v>10437052.5</v>
      </c>
      <c r="C74" s="13">
        <v>647585.10257352947</v>
      </c>
    </row>
    <row r="75" spans="1:3" x14ac:dyDescent="0.3">
      <c r="A75" s="16">
        <v>22</v>
      </c>
      <c r="B75" s="13">
        <v>11273523</v>
      </c>
      <c r="C75" s="13">
        <v>663148.41176470579</v>
      </c>
    </row>
    <row r="76" spans="1:3" x14ac:dyDescent="0.3">
      <c r="A76" s="16">
        <v>23</v>
      </c>
      <c r="B76" s="13">
        <v>4049371.5</v>
      </c>
      <c r="C76" s="13">
        <v>238198.32352941175</v>
      </c>
    </row>
    <row r="77" spans="1:3" x14ac:dyDescent="0.3">
      <c r="A77" s="15" t="s">
        <v>19</v>
      </c>
      <c r="B77" s="13">
        <v>34816548</v>
      </c>
      <c r="C77" s="13">
        <v>2290685.3687500004</v>
      </c>
    </row>
    <row r="78" spans="1:3" x14ac:dyDescent="0.3">
      <c r="A78" s="16">
        <v>18</v>
      </c>
      <c r="B78" s="13">
        <v>1521118.5</v>
      </c>
      <c r="C78" s="13">
        <v>101407.9</v>
      </c>
    </row>
    <row r="79" spans="1:3" x14ac:dyDescent="0.3">
      <c r="A79" s="16">
        <v>19</v>
      </c>
      <c r="B79" s="13">
        <v>5181624</v>
      </c>
      <c r="C79" s="13">
        <v>345441.60000000003</v>
      </c>
    </row>
    <row r="80" spans="1:3" x14ac:dyDescent="0.3">
      <c r="A80" s="16">
        <v>20</v>
      </c>
      <c r="B80" s="13">
        <v>7420426.5</v>
      </c>
      <c r="C80" s="13">
        <v>494695.10000000003</v>
      </c>
    </row>
    <row r="81" spans="1:3" x14ac:dyDescent="0.3">
      <c r="A81" s="16">
        <v>21</v>
      </c>
      <c r="B81" s="13">
        <v>8529648</v>
      </c>
      <c r="C81" s="13">
        <v>568643.20000000007</v>
      </c>
    </row>
    <row r="82" spans="1:3" x14ac:dyDescent="0.3">
      <c r="A82" s="16">
        <v>22</v>
      </c>
      <c r="B82" s="13">
        <v>9217851</v>
      </c>
      <c r="C82" s="13">
        <v>596380.06874999998</v>
      </c>
    </row>
    <row r="83" spans="1:3" x14ac:dyDescent="0.3">
      <c r="A83" s="16">
        <v>23</v>
      </c>
      <c r="B83" s="13">
        <v>2945880</v>
      </c>
      <c r="C83" s="13">
        <v>184117.5</v>
      </c>
    </row>
    <row r="84" spans="1:3" x14ac:dyDescent="0.3">
      <c r="A84" s="15" t="s">
        <v>9</v>
      </c>
      <c r="B84" s="13">
        <v>3342598.5</v>
      </c>
      <c r="C84" s="13">
        <v>222839.90000000002</v>
      </c>
    </row>
    <row r="85" spans="1:3" x14ac:dyDescent="0.3">
      <c r="A85" s="16">
        <v>22</v>
      </c>
      <c r="B85" s="13">
        <v>1931526</v>
      </c>
      <c r="C85" s="13">
        <v>128768.40000000001</v>
      </c>
    </row>
    <row r="86" spans="1:3" x14ac:dyDescent="0.3">
      <c r="A86" s="16">
        <v>23</v>
      </c>
      <c r="B86" s="13">
        <v>1411072.5</v>
      </c>
      <c r="C86" s="13">
        <v>94071.5</v>
      </c>
    </row>
    <row r="87" spans="1:3" x14ac:dyDescent="0.3">
      <c r="A87" s="15" t="s">
        <v>15</v>
      </c>
      <c r="B87" s="13">
        <v>1380723900.7513499</v>
      </c>
      <c r="C87" s="13">
        <v>11069486.467198042</v>
      </c>
    </row>
    <row r="88" spans="1:3" x14ac:dyDescent="0.3">
      <c r="A88" s="16">
        <v>18</v>
      </c>
      <c r="B88" s="13">
        <v>202990294.5</v>
      </c>
      <c r="C88" s="13">
        <v>1623922.3559999999</v>
      </c>
    </row>
    <row r="89" spans="1:3" x14ac:dyDescent="0.3">
      <c r="A89" s="16">
        <v>19</v>
      </c>
      <c r="B89" s="13">
        <v>258908565</v>
      </c>
      <c r="C89" s="13">
        <v>2071268.52</v>
      </c>
    </row>
    <row r="90" spans="1:3" x14ac:dyDescent="0.3">
      <c r="A90" s="16">
        <v>20</v>
      </c>
      <c r="B90" s="13">
        <v>271591410</v>
      </c>
      <c r="C90" s="13">
        <v>2172731.2799999998</v>
      </c>
    </row>
    <row r="91" spans="1:3" x14ac:dyDescent="0.3">
      <c r="A91" s="16">
        <v>21</v>
      </c>
      <c r="B91" s="13">
        <v>270104708.06999999</v>
      </c>
      <c r="C91" s="13">
        <v>2163217.2405600003</v>
      </c>
    </row>
    <row r="92" spans="1:3" x14ac:dyDescent="0.3">
      <c r="A92" s="16">
        <v>22</v>
      </c>
      <c r="B92" s="13">
        <v>291377841.18134999</v>
      </c>
      <c r="C92" s="13">
        <v>2346806.0867670733</v>
      </c>
    </row>
    <row r="93" spans="1:3" x14ac:dyDescent="0.3">
      <c r="A93" s="16">
        <v>23</v>
      </c>
      <c r="B93" s="13">
        <v>85751082</v>
      </c>
      <c r="C93" s="13">
        <v>691540.98387096776</v>
      </c>
    </row>
    <row r="94" spans="1:3" x14ac:dyDescent="0.3">
      <c r="A94" s="15" t="s">
        <v>14</v>
      </c>
      <c r="B94" s="13">
        <v>1035612381.8110499</v>
      </c>
      <c r="C94" s="13">
        <v>8033320.2085946221</v>
      </c>
    </row>
    <row r="95" spans="1:3" x14ac:dyDescent="0.3">
      <c r="A95" s="16">
        <v>18</v>
      </c>
      <c r="B95" s="13">
        <v>152858455.5</v>
      </c>
      <c r="C95" s="13">
        <v>1188584.703488372</v>
      </c>
    </row>
    <row r="96" spans="1:3" x14ac:dyDescent="0.3">
      <c r="A96" s="16">
        <v>19</v>
      </c>
      <c r="B96" s="13">
        <v>196863329.47454998</v>
      </c>
      <c r="C96" s="13">
        <v>1526072.3215081394</v>
      </c>
    </row>
    <row r="97" spans="1:3" x14ac:dyDescent="0.3">
      <c r="A97" s="16">
        <v>20</v>
      </c>
      <c r="B97" s="13">
        <v>202885255.75365001</v>
      </c>
      <c r="C97" s="13">
        <v>1572753.9205709302</v>
      </c>
    </row>
    <row r="98" spans="1:3" x14ac:dyDescent="0.3">
      <c r="A98" s="16">
        <v>21</v>
      </c>
      <c r="B98" s="13">
        <v>199842772.61745</v>
      </c>
      <c r="C98" s="13">
        <v>1549168.7799802325</v>
      </c>
    </row>
    <row r="99" spans="1:3" x14ac:dyDescent="0.3">
      <c r="A99" s="16">
        <v>22</v>
      </c>
      <c r="B99" s="13">
        <v>218110308.96539998</v>
      </c>
      <c r="C99" s="13">
        <v>1692459.4016515987</v>
      </c>
    </row>
    <row r="100" spans="1:3" x14ac:dyDescent="0.3">
      <c r="A100" s="16">
        <v>23</v>
      </c>
      <c r="B100" s="13">
        <v>65052259.5</v>
      </c>
      <c r="C100" s="13">
        <v>504281.08139534888</v>
      </c>
    </row>
    <row r="101" spans="1:3" x14ac:dyDescent="0.3">
      <c r="A101" s="15" t="s">
        <v>12</v>
      </c>
      <c r="B101" s="13">
        <v>33207564</v>
      </c>
      <c r="C101" s="13">
        <v>3320756.4</v>
      </c>
    </row>
    <row r="102" spans="1:3" x14ac:dyDescent="0.3">
      <c r="A102" s="16">
        <v>18</v>
      </c>
      <c r="B102" s="13">
        <v>4004128.5</v>
      </c>
      <c r="C102" s="13">
        <v>400412.85</v>
      </c>
    </row>
    <row r="103" spans="1:3" x14ac:dyDescent="0.3">
      <c r="A103" s="16">
        <v>19</v>
      </c>
      <c r="B103" s="13">
        <v>5303707.5</v>
      </c>
      <c r="C103" s="13">
        <v>530370.75</v>
      </c>
    </row>
    <row r="104" spans="1:3" x14ac:dyDescent="0.3">
      <c r="A104" s="16">
        <v>20</v>
      </c>
      <c r="B104" s="13">
        <v>6718438.5</v>
      </c>
      <c r="C104" s="13">
        <v>671843.85</v>
      </c>
    </row>
    <row r="105" spans="1:3" x14ac:dyDescent="0.3">
      <c r="A105" s="16">
        <v>21</v>
      </c>
      <c r="B105" s="13">
        <v>7371258</v>
      </c>
      <c r="C105" s="13">
        <v>737125.8</v>
      </c>
    </row>
    <row r="106" spans="1:3" x14ac:dyDescent="0.3">
      <c r="A106" s="16">
        <v>22</v>
      </c>
      <c r="B106" s="13">
        <v>7504033.5</v>
      </c>
      <c r="C106" s="13">
        <v>750403.35</v>
      </c>
    </row>
    <row r="107" spans="1:3" x14ac:dyDescent="0.3">
      <c r="A107" s="16">
        <v>23</v>
      </c>
      <c r="B107" s="13">
        <v>2305998</v>
      </c>
      <c r="C107" s="13">
        <v>230599.8</v>
      </c>
    </row>
    <row r="108" spans="1:3" x14ac:dyDescent="0.3">
      <c r="A108" s="15" t="s">
        <v>25</v>
      </c>
      <c r="B108" s="13">
        <v>882906</v>
      </c>
      <c r="C108" s="13">
        <v>98100.666666666657</v>
      </c>
    </row>
    <row r="109" spans="1:3" x14ac:dyDescent="0.3">
      <c r="A109" s="16">
        <v>22</v>
      </c>
      <c r="B109" s="13">
        <v>389013</v>
      </c>
      <c r="C109" s="13">
        <v>43223.666666666664</v>
      </c>
    </row>
    <row r="110" spans="1:3" x14ac:dyDescent="0.3">
      <c r="A110" s="16">
        <v>23</v>
      </c>
      <c r="B110" s="13">
        <v>493893</v>
      </c>
      <c r="C110" s="13">
        <v>54877</v>
      </c>
    </row>
    <row r="111" spans="1:3" x14ac:dyDescent="0.3">
      <c r="A111" s="15" t="s">
        <v>24</v>
      </c>
      <c r="B111" s="13">
        <v>5664156</v>
      </c>
      <c r="C111" s="13">
        <v>809165.14285714272</v>
      </c>
    </row>
    <row r="112" spans="1:3" x14ac:dyDescent="0.3">
      <c r="A112" s="16">
        <v>22</v>
      </c>
      <c r="B112" s="13">
        <v>3869457</v>
      </c>
      <c r="C112" s="13">
        <v>552779.57142857136</v>
      </c>
    </row>
    <row r="113" spans="1:3" x14ac:dyDescent="0.3">
      <c r="A113" s="16">
        <v>23</v>
      </c>
      <c r="B113" s="13">
        <v>1794699</v>
      </c>
      <c r="C113" s="13">
        <v>256385.57142857142</v>
      </c>
    </row>
    <row r="114" spans="1:3" x14ac:dyDescent="0.3">
      <c r="A114" s="15" t="s">
        <v>26</v>
      </c>
      <c r="B114" s="13">
        <v>879727.5</v>
      </c>
      <c r="C114" s="13">
        <v>146621.25</v>
      </c>
    </row>
    <row r="115" spans="1:3" x14ac:dyDescent="0.3">
      <c r="A115" s="16">
        <v>22</v>
      </c>
      <c r="B115" s="13">
        <v>410892</v>
      </c>
      <c r="C115" s="13">
        <v>68482</v>
      </c>
    </row>
    <row r="116" spans="1:3" x14ac:dyDescent="0.3">
      <c r="A116" s="16">
        <v>23</v>
      </c>
      <c r="B116" s="13">
        <v>468835.5</v>
      </c>
      <c r="C116" s="13">
        <v>78139.25</v>
      </c>
    </row>
    <row r="117" spans="1:3" x14ac:dyDescent="0.3">
      <c r="A117" s="15" t="s">
        <v>28</v>
      </c>
      <c r="B117" s="13">
        <v>4962359217.0623999</v>
      </c>
      <c r="C117" s="13">
        <v>92363110.331727609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МАССИВ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2021-09-13T10:17:58Z</dcterms:created>
  <dcterms:modified xsi:type="dcterms:W3CDTF">2026-01-31T08:39:57Z</dcterms:modified>
</cp:coreProperties>
</file>